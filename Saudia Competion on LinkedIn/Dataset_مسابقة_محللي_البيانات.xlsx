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theme/themeOverride2.xml" ContentType="application/vnd.openxmlformats-officedocument.themeOverrid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E:\Github DA Projects\Saudia Competion on LinkedIn\"/>
    </mc:Choice>
  </mc:AlternateContent>
  <xr:revisionPtr revIDLastSave="0" documentId="13_ncr:1_{AE616D80-B781-4AEF-BC1B-271852065A62}"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Sheet2" sheetId="2" r:id="rId2"/>
  </sheets>
  <definedNames>
    <definedName name="_xlcn.WorksheetConnection_Dataset_مسابقة_محللي_البيانات.xlsxTable1" hidden="1">Table1[]</definedName>
    <definedName name="_xlcn.WorksheetConnection_Sheet1AE" hidden="1">Sheet1!$A:$E</definedName>
    <definedName name="Slicer_Day">#N/A</definedName>
    <definedName name="Slicer_المنتج">#N/A</definedName>
    <definedName name="Slicer_المنطقة">#N/A</definedName>
  </definedNames>
  <calcPr calcId="191029"/>
  <pivotCaches>
    <pivotCache cacheId="9" r:id="rId3"/>
    <pivotCache cacheId="29" r:id="rId4"/>
  </pivotCaches>
  <extLst>
    <ext xmlns:x14="http://schemas.microsoft.com/office/spreadsheetml/2009/9/main" uri="{876F7934-8845-4945-9796-88D515C7AA90}">
      <x14:pivotCaches>
        <pivotCache cacheId="11"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E"/>
          <x15:modelTable id="Table1" name="Table1" connection="WorksheetConnection_Dataset_مسابقة_محللي_البيانات.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A0F669-6D27-4867-885D-630B8AA646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6C0439C-8722-4224-927C-1319BFADBB61}" name="WorksheetConnection_Dataset_مسابقة_محللي_البيانات.xlsx!Table1" type="102" refreshedVersion="8" minRefreshableVersion="5">
    <extLst>
      <ext xmlns:x15="http://schemas.microsoft.com/office/spreadsheetml/2010/11/main" uri="{DE250136-89BD-433C-8126-D09CA5730AF9}">
        <x15:connection id="Table1">
          <x15:rangePr sourceName="_xlcn.WorksheetConnection_Dataset_مسابقة_محللي_البيانات.xlsxTable1"/>
        </x15:connection>
      </ext>
    </extLst>
  </connection>
  <connection id="3" xr16:uid="{2E28FEE9-05EA-422D-8C59-F8581421258C}" name="WorksheetConnection_Sheet1!$A:$E" type="102" refreshedVersion="8" minRefreshableVersion="5" saveData="1">
    <extLst>
      <ext xmlns:x15="http://schemas.microsoft.com/office/spreadsheetml/2010/11/main" uri="{DE250136-89BD-433C-8126-D09CA5730AF9}">
        <x15:connection id="Range" autoDelete="1">
          <x15:rangePr sourceName="_xlcn.WorksheetConnection_Sheet1AE"/>
        </x15:connection>
      </ext>
    </extLst>
  </connection>
</connections>
</file>

<file path=xl/sharedStrings.xml><?xml version="1.0" encoding="utf-8"?>
<sst xmlns="http://schemas.openxmlformats.org/spreadsheetml/2006/main" count="371" uniqueCount="20">
  <si>
    <t>التاريخ</t>
  </si>
  <si>
    <t>المنتج</t>
  </si>
  <si>
    <t>المنطقة</t>
  </si>
  <si>
    <t>الإيرادات</t>
  </si>
  <si>
    <t>منتج A</t>
  </si>
  <si>
    <t>منتج B</t>
  </si>
  <si>
    <t>منتج C</t>
  </si>
  <si>
    <t>منتج D</t>
  </si>
  <si>
    <t>منتج E</t>
  </si>
  <si>
    <t>الرياض</t>
  </si>
  <si>
    <t>جدة</t>
  </si>
  <si>
    <t>الخبر</t>
  </si>
  <si>
    <t>مكة</t>
  </si>
  <si>
    <t>الدمام</t>
  </si>
  <si>
    <t>Row Labels</t>
  </si>
  <si>
    <t>Grand Total</t>
  </si>
  <si>
    <t>Sum of الإيرادات</t>
  </si>
  <si>
    <t xml:space="preserve">  </t>
  </si>
  <si>
    <t>Column Labels</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</si>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</sst>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SAR]\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Alignment="1">
      <alignment horizontal="left" indent="1"/>
    </xf>
    <xf numFmtId="165" fontId="0" fillId="0" borderId="0" xfId="0" applyNumberFormat="1"/>
    <xf numFmtId="10" fontId="0" fillId="0" borderId="0" xfId="0" applyNumberFormat="1" applyAlignment="1">
      <alignment horizontal="left"/>
    </xf>
    <xf numFmtId="10" fontId="0" fillId="0" borderId="0" xfId="0" applyNumberFormat="1"/>
    <xf numFmtId="9" fontId="0" fillId="0" borderId="0" xfId="0" applyNumberFormat="1"/>
    <xf numFmtId="0" fontId="0" fillId="0" borderId="0" xfId="0" applyNumberFormat="1"/>
  </cellXfs>
  <cellStyles count="1">
    <cellStyle name="Normal" xfId="0" builtinId="0"/>
  </cellStyles>
  <dxfs count="9">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numFmt numFmtId="13" formatCode="0%"/>
    </dxf>
    <dxf>
      <numFmt numFmtId="14" formatCode="0.00%"/>
    </dxf>
    <dxf>
      <numFmt numFmtId="165" formatCode="[$SAR]\ #,##0.00"/>
    </dxf>
  </dxfs>
  <tableStyles count="0" defaultTableStyle="TableStyleMedium9" defaultPivotStyle="PivotStyleLight16"/>
  <colors>
    <mruColors>
      <color rgb="FF2CC4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3.xml"/><Relationship Id="rId10"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[Dataset_مسابقة_محللي_البيانات.xlsx]Sheet1!PivotTable5</c:name>
    <c:fmtId val="6"/>
  </c:pivotSource>
  <c:chart>
    <c:title>
      <c:tx>
        <c:rich>
          <a:bodyPr rot="0" vert="horz"/>
          <a:lstStyle/>
          <a:p>
            <a:pPr>
              <a:defRPr/>
            </a:pPr>
            <a:r>
              <a:rPr lang="en-US"/>
              <a:t>Total Revenue per Region</a:t>
            </a: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2"/>
            </a:solidFill>
            <a:ln>
              <a:noFill/>
            </a:ln>
            <a:effectLst/>
            <a:sp3d/>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Sheet1!$H$6:$H$11</c:f>
              <c:strCache>
                <c:ptCount val="5"/>
                <c:pt idx="0">
                  <c:v>الخبر</c:v>
                </c:pt>
                <c:pt idx="1">
                  <c:v>الدمام</c:v>
                </c:pt>
                <c:pt idx="2">
                  <c:v>الرياض</c:v>
                </c:pt>
                <c:pt idx="3">
                  <c:v>جدة</c:v>
                </c:pt>
                <c:pt idx="4">
                  <c:v>مكة</c:v>
                </c:pt>
              </c:strCache>
            </c:strRef>
          </c:cat>
          <c:val>
            <c:numRef>
              <c:f>Sheet1!$I$6:$I$11</c:f>
              <c:numCache>
                <c:formatCode>General</c:formatCode>
                <c:ptCount val="5"/>
                <c:pt idx="0">
                  <c:v>84022</c:v>
                </c:pt>
                <c:pt idx="1">
                  <c:v>76108</c:v>
                </c:pt>
                <c:pt idx="2">
                  <c:v>74424</c:v>
                </c:pt>
                <c:pt idx="3">
                  <c:v>96524</c:v>
                </c:pt>
                <c:pt idx="4">
                  <c:v>75795</c:v>
                </c:pt>
              </c:numCache>
            </c:numRef>
          </c:val>
          <c:extLst>
            <c:ext xmlns:c16="http://schemas.microsoft.com/office/drawing/2014/chart" uri="{C3380CC4-5D6E-409C-BE32-E72D297353CC}">
              <c16:uniqueId val="{00000002-EAF2-45D3-B6FD-44BB28242E8B}"/>
            </c:ext>
          </c:extLst>
        </c:ser>
        <c:dLbls>
          <c:dLblPos val="outEnd"/>
          <c:showLegendKey val="0"/>
          <c:showVal val="1"/>
          <c:showCatName val="0"/>
          <c:showSerName val="0"/>
          <c:showPercent val="0"/>
          <c:showBubbleSize val="0"/>
        </c:dLbls>
        <c:gapWidth val="150"/>
        <c:axId val="157157135"/>
        <c:axId val="157153775"/>
      </c:barChart>
      <c:catAx>
        <c:axId val="157157135"/>
        <c:scaling>
          <c:orientation val="minMax"/>
        </c:scaling>
        <c:delete val="0"/>
        <c:axPos val="b"/>
        <c:title>
          <c:tx>
            <c:rich>
              <a:bodyPr/>
              <a:lstStyle/>
              <a:p>
                <a:pPr>
                  <a:defRPr/>
                </a:pPr>
                <a:r>
                  <a:rPr lang="en-US"/>
                  <a:t> </a:t>
                </a:r>
                <a:r>
                  <a:rPr lang="en-US" sz="1800"/>
                  <a:t>Region</a:t>
                </a:r>
                <a:endParaRPr lang="en-US"/>
              </a:p>
            </c:rich>
          </c:tx>
          <c:overlay val="0"/>
        </c:title>
        <c:numFmt formatCode="General" sourceLinked="1"/>
        <c:majorTickMark val="none"/>
        <c:minorTickMark val="none"/>
        <c:tickLblPos val="nextTo"/>
        <c:spPr>
          <a:noFill/>
          <a:ln>
            <a:noFill/>
          </a:ln>
          <a:effectLst/>
        </c:spPr>
        <c:txPr>
          <a:bodyPr rot="-60000000" vert="horz"/>
          <a:lstStyle/>
          <a:p>
            <a:pPr>
              <a:defRPr/>
            </a:pPr>
            <a:endParaRPr lang="en-US"/>
          </a:p>
        </c:txPr>
        <c:crossAx val="157153775"/>
        <c:crosses val="autoZero"/>
        <c:auto val="1"/>
        <c:lblAlgn val="ctr"/>
        <c:lblOffset val="100"/>
        <c:noMultiLvlLbl val="0"/>
      </c:catAx>
      <c:valAx>
        <c:axId val="157153775"/>
        <c:scaling>
          <c:orientation val="minMax"/>
        </c:scaling>
        <c:delete val="0"/>
        <c:axPos val="l"/>
        <c:title>
          <c:tx>
            <c:rich>
              <a:bodyPr/>
              <a:lstStyle/>
              <a:p>
                <a:pPr>
                  <a:defRPr/>
                </a:pPr>
                <a:r>
                  <a:rPr lang="en-US" sz="1600"/>
                  <a:t> Total Revenue </a:t>
                </a:r>
              </a:p>
            </c:rich>
          </c:tx>
          <c:overlay val="0"/>
        </c:title>
        <c:numFmt formatCode="General" sourceLinked="1"/>
        <c:majorTickMark val="none"/>
        <c:minorTickMark val="none"/>
        <c:tickLblPos val="nextTo"/>
        <c:spPr>
          <a:noFill/>
          <a:ln>
            <a:noFill/>
          </a:ln>
          <a:effectLst/>
        </c:spPr>
        <c:txPr>
          <a:bodyPr rot="-60000000" vert="horz"/>
          <a:lstStyle/>
          <a:p>
            <a:pPr>
              <a:defRPr/>
            </a:pPr>
            <a:endParaRPr lang="en-US"/>
          </a:p>
        </c:txPr>
        <c:crossAx val="157157135"/>
        <c:crosses val="autoZero"/>
        <c:crossBetween val="between"/>
      </c:valAx>
      <c:spPr>
        <a:noFill/>
        <a:ln>
          <a:noFill/>
        </a:ln>
        <a:effectLst/>
        <a:sp3d/>
      </c:spPr>
    </c:plotArea>
    <c:plotVisOnly val="1"/>
    <c:dispBlanksAs val="gap"/>
    <c:showDLblsOverMax val="0"/>
    <c:extLst/>
  </c:chart>
  <c:spPr>
    <a:solidFill>
      <a:schemeClr val="accent2">
        <a:lumMod val="40000"/>
        <a:lumOff val="60000"/>
      </a:schemeClr>
    </a:solidFill>
    <a:ln w="25400" cap="flat" cmpd="sng" algn="ctr">
      <a:solidFill>
        <a:schemeClr val="accent2"/>
      </a:solidFill>
      <a:prstDash val="solid"/>
    </a:ln>
    <a:effectLst>
      <a:innerShdw blurRad="63500" dist="50800" dir="13500000">
        <a:prstClr val="black">
          <a:alpha val="50000"/>
        </a:prstClr>
      </a:innerShdw>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[Dataset_مسابقة_محللي_البيانات.xlsx]Sheet1!PivotTable2</c:name>
    <c:fmtId val="6"/>
  </c:pivotSource>
  <c:chart>
    <c:title>
      <c:tx>
        <c:rich>
          <a:bodyPr rot="0" vert="horz"/>
          <a:lstStyle/>
          <a:p>
            <a:pPr>
              <a:defRPr/>
            </a:pPr>
            <a:r>
              <a:rPr lang="en-US"/>
              <a:t>Top 3 Products By Total Revenue</a:t>
            </a: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Sheet1!$L$14</c:f>
              <c:strCache>
                <c:ptCount val="1"/>
                <c:pt idx="0">
                  <c:v>Total</c:v>
                </c:pt>
              </c:strCache>
            </c:strRef>
          </c:tx>
          <c:spPr>
            <a:solidFill>
              <a:schemeClr val="accent2"/>
            </a:solidFill>
            <a:ln>
              <a:noFill/>
            </a:ln>
            <a:effectLst/>
            <a:sp3d/>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Sheet1!$K$15:$K$18</c:f>
              <c:strCache>
                <c:ptCount val="3"/>
                <c:pt idx="0">
                  <c:v>منتج A</c:v>
                </c:pt>
                <c:pt idx="1">
                  <c:v>منتج B</c:v>
                </c:pt>
                <c:pt idx="2">
                  <c:v>منتج D</c:v>
                </c:pt>
              </c:strCache>
            </c:strRef>
          </c:cat>
          <c:val>
            <c:numRef>
              <c:f>Sheet1!$L$15:$L$18</c:f>
              <c:numCache>
                <c:formatCode>General</c:formatCode>
                <c:ptCount val="3"/>
                <c:pt idx="0">
                  <c:v>83670</c:v>
                </c:pt>
                <c:pt idx="1">
                  <c:v>87466</c:v>
                </c:pt>
                <c:pt idx="2">
                  <c:v>87987</c:v>
                </c:pt>
              </c:numCache>
            </c:numRef>
          </c:val>
          <c:extLst>
            <c:ext xmlns:c16="http://schemas.microsoft.com/office/drawing/2014/chart" uri="{C3380CC4-5D6E-409C-BE32-E72D297353CC}">
              <c16:uniqueId val="{00000002-EAF2-45D3-B6FD-44BB28242E8B}"/>
            </c:ext>
          </c:extLst>
        </c:ser>
        <c:dLbls>
          <c:dLblPos val="outEnd"/>
          <c:showLegendKey val="0"/>
          <c:showVal val="1"/>
          <c:showCatName val="0"/>
          <c:showSerName val="0"/>
          <c:showPercent val="0"/>
          <c:showBubbleSize val="0"/>
        </c:dLbls>
        <c:gapWidth val="150"/>
        <c:axId val="157157135"/>
        <c:axId val="157153775"/>
      </c:barChart>
      <c:catAx>
        <c:axId val="15715713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157153775"/>
        <c:crosses val="autoZero"/>
        <c:auto val="1"/>
        <c:lblAlgn val="ctr"/>
        <c:lblOffset val="100"/>
        <c:noMultiLvlLbl val="0"/>
      </c:catAx>
      <c:valAx>
        <c:axId val="157153775"/>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157157135"/>
        <c:crosses val="autoZero"/>
        <c:crossBetween val="between"/>
      </c:valAx>
      <c:spPr>
        <a:noFill/>
        <a:ln>
          <a:noFill/>
        </a:ln>
        <a:effectLst/>
        <a:sp3d/>
      </c:spPr>
    </c:plotArea>
    <c:plotVisOnly val="1"/>
    <c:dispBlanksAs val="gap"/>
    <c:showDLblsOverMax val="0"/>
    <c:extLst/>
  </c:chart>
  <c:spPr>
    <a:solidFill>
      <a:schemeClr val="accent2">
        <a:lumMod val="40000"/>
        <a:lumOff val="60000"/>
      </a:schemeClr>
    </a:solidFill>
    <a:ln w="25400" cap="flat" cmpd="sng" algn="ctr">
      <a:solidFill>
        <a:schemeClr val="accent2"/>
      </a:solidFill>
      <a:prstDash val="solid"/>
    </a:ln>
    <a:effectLst>
      <a:innerShdw blurRad="63500" dist="50800" dir="13500000">
        <a:prstClr val="black">
          <a:alpha val="50000"/>
        </a:prstClr>
      </a:innerShdw>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[Dataset_مسابقة_محللي_البيانات.xlsx]Sheet1!PivotTable8</c:name>
    <c:fmtId val="11"/>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Product Revenue Distribution by Region</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Sheet1!$T$12:$T$13</c:f>
              <c:strCache>
                <c:ptCount val="1"/>
                <c:pt idx="0">
                  <c:v>منتج A</c:v>
                </c:pt>
              </c:strCache>
            </c:strRef>
          </c:tx>
          <c:spPr>
            <a:solidFill>
              <a:schemeClr val="accent2">
                <a:shade val="53000"/>
              </a:schemeClr>
            </a:solidFill>
            <a:ln>
              <a:noFill/>
            </a:ln>
            <a:effectLst/>
            <a:sp3d/>
          </c:spPr>
          <c:invertIfNegative val="0"/>
          <c:cat>
            <c:strRef>
              <c:f>Sheet1!$S$14:$S$19</c:f>
              <c:strCache>
                <c:ptCount val="5"/>
                <c:pt idx="0">
                  <c:v>الخبر</c:v>
                </c:pt>
                <c:pt idx="1">
                  <c:v>الدمام</c:v>
                </c:pt>
                <c:pt idx="2">
                  <c:v>الرياض</c:v>
                </c:pt>
                <c:pt idx="3">
                  <c:v>جدة</c:v>
                </c:pt>
                <c:pt idx="4">
                  <c:v>مكة</c:v>
                </c:pt>
              </c:strCache>
            </c:strRef>
          </c:cat>
          <c:val>
            <c:numRef>
              <c:f>Sheet1!$T$14:$T$19</c:f>
              <c:numCache>
                <c:formatCode>General</c:formatCode>
                <c:ptCount val="5"/>
                <c:pt idx="0">
                  <c:v>15091</c:v>
                </c:pt>
                <c:pt idx="1">
                  <c:v>13625</c:v>
                </c:pt>
                <c:pt idx="2">
                  <c:v>23647</c:v>
                </c:pt>
                <c:pt idx="3">
                  <c:v>10419</c:v>
                </c:pt>
                <c:pt idx="4">
                  <c:v>20888</c:v>
                </c:pt>
              </c:numCache>
            </c:numRef>
          </c:val>
          <c:extLst>
            <c:ext xmlns:c16="http://schemas.microsoft.com/office/drawing/2014/chart" uri="{C3380CC4-5D6E-409C-BE32-E72D297353CC}">
              <c16:uniqueId val="{00000002-EAF2-45D3-B6FD-44BB28242E8B}"/>
            </c:ext>
          </c:extLst>
        </c:ser>
        <c:ser>
          <c:idx val="1"/>
          <c:order val="1"/>
          <c:tx>
            <c:strRef>
              <c:f>Sheet1!$U$12:$U$13</c:f>
              <c:strCache>
                <c:ptCount val="1"/>
                <c:pt idx="0">
                  <c:v>منتج B</c:v>
                </c:pt>
              </c:strCache>
            </c:strRef>
          </c:tx>
          <c:spPr>
            <a:solidFill>
              <a:schemeClr val="accent2">
                <a:shade val="76000"/>
              </a:schemeClr>
            </a:solidFill>
            <a:ln>
              <a:noFill/>
            </a:ln>
            <a:effectLst/>
          </c:spPr>
          <c:invertIfNegative val="0"/>
          <c:cat>
            <c:strRef>
              <c:f>Sheet1!$S$14:$S$19</c:f>
              <c:strCache>
                <c:ptCount val="5"/>
                <c:pt idx="0">
                  <c:v>الخبر</c:v>
                </c:pt>
                <c:pt idx="1">
                  <c:v>الدمام</c:v>
                </c:pt>
                <c:pt idx="2">
                  <c:v>الرياض</c:v>
                </c:pt>
                <c:pt idx="3">
                  <c:v>جدة</c:v>
                </c:pt>
                <c:pt idx="4">
                  <c:v>مكة</c:v>
                </c:pt>
              </c:strCache>
            </c:strRef>
          </c:cat>
          <c:val>
            <c:numRef>
              <c:f>Sheet1!$U$14:$U$19</c:f>
              <c:numCache>
                <c:formatCode>General</c:formatCode>
                <c:ptCount val="5"/>
                <c:pt idx="0">
                  <c:v>19394</c:v>
                </c:pt>
                <c:pt idx="1">
                  <c:v>16012</c:v>
                </c:pt>
                <c:pt idx="2">
                  <c:v>7715</c:v>
                </c:pt>
                <c:pt idx="3">
                  <c:v>22252</c:v>
                </c:pt>
                <c:pt idx="4">
                  <c:v>22093</c:v>
                </c:pt>
              </c:numCache>
            </c:numRef>
          </c:val>
          <c:extLst>
            <c:ext xmlns:c16="http://schemas.microsoft.com/office/drawing/2014/chart" uri="{C3380CC4-5D6E-409C-BE32-E72D297353CC}">
              <c16:uniqueId val="{00000006-C74F-4948-95CC-0701DFA93EEE}"/>
            </c:ext>
          </c:extLst>
        </c:ser>
        <c:ser>
          <c:idx val="2"/>
          <c:order val="2"/>
          <c:tx>
            <c:strRef>
              <c:f>Sheet1!$V$12:$V$13</c:f>
              <c:strCache>
                <c:ptCount val="1"/>
                <c:pt idx="0">
                  <c:v>منتج C</c:v>
                </c:pt>
              </c:strCache>
            </c:strRef>
          </c:tx>
          <c:spPr>
            <a:solidFill>
              <a:schemeClr val="accent2"/>
            </a:solidFill>
            <a:ln>
              <a:noFill/>
            </a:ln>
            <a:effectLst/>
          </c:spPr>
          <c:invertIfNegative val="0"/>
          <c:cat>
            <c:strRef>
              <c:f>Sheet1!$S$14:$S$19</c:f>
              <c:strCache>
                <c:ptCount val="5"/>
                <c:pt idx="0">
                  <c:v>الخبر</c:v>
                </c:pt>
                <c:pt idx="1">
                  <c:v>الدمام</c:v>
                </c:pt>
                <c:pt idx="2">
                  <c:v>الرياض</c:v>
                </c:pt>
                <c:pt idx="3">
                  <c:v>جدة</c:v>
                </c:pt>
                <c:pt idx="4">
                  <c:v>مكة</c:v>
                </c:pt>
              </c:strCache>
            </c:strRef>
          </c:cat>
          <c:val>
            <c:numRef>
              <c:f>Sheet1!$V$14:$V$19</c:f>
              <c:numCache>
                <c:formatCode>General</c:formatCode>
                <c:ptCount val="5"/>
                <c:pt idx="0">
                  <c:v>9521</c:v>
                </c:pt>
                <c:pt idx="1">
                  <c:v>15559</c:v>
                </c:pt>
                <c:pt idx="2">
                  <c:v>26276</c:v>
                </c:pt>
                <c:pt idx="3">
                  <c:v>14462</c:v>
                </c:pt>
                <c:pt idx="4">
                  <c:v>6226</c:v>
                </c:pt>
              </c:numCache>
            </c:numRef>
          </c:val>
          <c:extLst>
            <c:ext xmlns:c16="http://schemas.microsoft.com/office/drawing/2014/chart" uri="{C3380CC4-5D6E-409C-BE32-E72D297353CC}">
              <c16:uniqueId val="{00000007-C74F-4948-95CC-0701DFA93EEE}"/>
            </c:ext>
          </c:extLst>
        </c:ser>
        <c:ser>
          <c:idx val="3"/>
          <c:order val="3"/>
          <c:tx>
            <c:strRef>
              <c:f>Sheet1!$W$12:$W$13</c:f>
              <c:strCache>
                <c:ptCount val="1"/>
                <c:pt idx="0">
                  <c:v>منتج D</c:v>
                </c:pt>
              </c:strCache>
            </c:strRef>
          </c:tx>
          <c:spPr>
            <a:solidFill>
              <a:schemeClr val="accent2">
                <a:tint val="77000"/>
              </a:schemeClr>
            </a:solidFill>
            <a:ln>
              <a:noFill/>
            </a:ln>
            <a:effectLst/>
          </c:spPr>
          <c:invertIfNegative val="0"/>
          <c:cat>
            <c:strRef>
              <c:f>Sheet1!$S$14:$S$19</c:f>
              <c:strCache>
                <c:ptCount val="5"/>
                <c:pt idx="0">
                  <c:v>الخبر</c:v>
                </c:pt>
                <c:pt idx="1">
                  <c:v>الدمام</c:v>
                </c:pt>
                <c:pt idx="2">
                  <c:v>الرياض</c:v>
                </c:pt>
                <c:pt idx="3">
                  <c:v>جدة</c:v>
                </c:pt>
                <c:pt idx="4">
                  <c:v>مكة</c:v>
                </c:pt>
              </c:strCache>
            </c:strRef>
          </c:cat>
          <c:val>
            <c:numRef>
              <c:f>Sheet1!$W$14:$W$19</c:f>
              <c:numCache>
                <c:formatCode>General</c:formatCode>
                <c:ptCount val="5"/>
                <c:pt idx="0">
                  <c:v>22963</c:v>
                </c:pt>
                <c:pt idx="1">
                  <c:v>13267</c:v>
                </c:pt>
                <c:pt idx="2">
                  <c:v>4988</c:v>
                </c:pt>
                <c:pt idx="3">
                  <c:v>28330</c:v>
                </c:pt>
                <c:pt idx="4">
                  <c:v>18439</c:v>
                </c:pt>
              </c:numCache>
            </c:numRef>
          </c:val>
          <c:extLst>
            <c:ext xmlns:c16="http://schemas.microsoft.com/office/drawing/2014/chart" uri="{C3380CC4-5D6E-409C-BE32-E72D297353CC}">
              <c16:uniqueId val="{00000008-C74F-4948-95CC-0701DFA93EEE}"/>
            </c:ext>
          </c:extLst>
        </c:ser>
        <c:ser>
          <c:idx val="4"/>
          <c:order val="4"/>
          <c:tx>
            <c:strRef>
              <c:f>Sheet1!$X$12:$X$13</c:f>
              <c:strCache>
                <c:ptCount val="1"/>
                <c:pt idx="0">
                  <c:v>منتج E</c:v>
                </c:pt>
              </c:strCache>
            </c:strRef>
          </c:tx>
          <c:spPr>
            <a:solidFill>
              <a:schemeClr val="accent2">
                <a:tint val="54000"/>
              </a:schemeClr>
            </a:solidFill>
            <a:ln>
              <a:noFill/>
            </a:ln>
            <a:effectLst/>
          </c:spPr>
          <c:invertIfNegative val="0"/>
          <c:cat>
            <c:strRef>
              <c:f>Sheet1!$S$14:$S$19</c:f>
              <c:strCache>
                <c:ptCount val="5"/>
                <c:pt idx="0">
                  <c:v>الخبر</c:v>
                </c:pt>
                <c:pt idx="1">
                  <c:v>الدمام</c:v>
                </c:pt>
                <c:pt idx="2">
                  <c:v>الرياض</c:v>
                </c:pt>
                <c:pt idx="3">
                  <c:v>جدة</c:v>
                </c:pt>
                <c:pt idx="4">
                  <c:v>مكة</c:v>
                </c:pt>
              </c:strCache>
            </c:strRef>
          </c:cat>
          <c:val>
            <c:numRef>
              <c:f>Sheet1!$X$14:$X$19</c:f>
              <c:numCache>
                <c:formatCode>General</c:formatCode>
                <c:ptCount val="5"/>
                <c:pt idx="0">
                  <c:v>17053</c:v>
                </c:pt>
                <c:pt idx="1">
                  <c:v>17645</c:v>
                </c:pt>
                <c:pt idx="2">
                  <c:v>11798</c:v>
                </c:pt>
                <c:pt idx="3">
                  <c:v>21061</c:v>
                </c:pt>
                <c:pt idx="4">
                  <c:v>8149</c:v>
                </c:pt>
              </c:numCache>
            </c:numRef>
          </c:val>
          <c:extLst>
            <c:ext xmlns:c16="http://schemas.microsoft.com/office/drawing/2014/chart" uri="{C3380CC4-5D6E-409C-BE32-E72D297353CC}">
              <c16:uniqueId val="{00000009-C74F-4948-95CC-0701DFA93EEE}"/>
            </c:ext>
          </c:extLst>
        </c:ser>
        <c:dLbls>
          <c:showLegendKey val="0"/>
          <c:showVal val="0"/>
          <c:showCatName val="0"/>
          <c:showSerName val="0"/>
          <c:showPercent val="0"/>
          <c:showBubbleSize val="0"/>
        </c:dLbls>
        <c:gapWidth val="150"/>
        <c:axId val="157157135"/>
        <c:axId val="157153775"/>
      </c:barChart>
      <c:catAx>
        <c:axId val="157157135"/>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a:t>Region</a:t>
                </a:r>
                <a:endParaRPr lang="en-US"/>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7153775"/>
        <c:crosses val="autoZero"/>
        <c:auto val="1"/>
        <c:lblAlgn val="ctr"/>
        <c:lblOffset val="100"/>
        <c:noMultiLvlLbl val="0"/>
      </c:catAx>
      <c:valAx>
        <c:axId val="157153775"/>
        <c:scaling>
          <c:orientation val="minMax"/>
        </c:scaling>
        <c:delete val="0"/>
        <c:axPos val="l"/>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a:t>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715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chart>
  <c:spPr>
    <a:solidFill>
      <a:schemeClr val="accent2">
        <a:lumMod val="60000"/>
        <a:lumOff val="40000"/>
      </a:schemeClr>
    </a:solidFill>
    <a:ln w="25400" cap="flat" cmpd="sng" algn="ctr">
      <a:solidFill>
        <a:schemeClr val="accent2"/>
      </a:solidFill>
      <a:prstDash val="solid"/>
      <a:round/>
    </a:ln>
    <a:effectLst>
      <a:innerShdw blurRad="63500" dist="50800" dir="13500000">
        <a:prstClr val="black">
          <a:alpha val="50000"/>
        </a:prstClr>
      </a:innerShdw>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[Dataset_مسابقة_محللي_البيانات.xlsx]Sheet1!PivotTable10</c:name>
    <c:fmtId val="8"/>
  </c:pivotSource>
  <c:chart>
    <c:title>
      <c:tx>
        <c:rich>
          <a:bodyPr rot="0" vert="horz"/>
          <a:lstStyle/>
          <a:p>
            <a:pPr>
              <a:defRPr/>
            </a:pPr>
            <a:r>
              <a:rPr lang="en-US"/>
              <a:t>Most Selling Product per Region</a:t>
            </a:r>
          </a:p>
        </c:rich>
      </c:tx>
      <c:overlay val="0"/>
      <c:spPr>
        <a:noFill/>
        <a:ln>
          <a:noFill/>
        </a:ln>
        <a:effectLst/>
      </c:spPr>
    </c:title>
    <c:autoTitleDeleted val="0"/>
    <c:pivotFmts>
      <c:pivotFmt>
        <c:idx val="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Sheet1!$V$26</c:f>
              <c:strCache>
                <c:ptCount val="1"/>
                <c:pt idx="0">
                  <c:v>Total</c:v>
                </c:pt>
              </c:strCache>
            </c:strRef>
          </c:tx>
          <c:spPr>
            <a:solidFill>
              <a:schemeClr val="accent2"/>
            </a:solidFill>
            <a:ln>
              <a:noFill/>
            </a:ln>
            <a:effectLst/>
            <a:sp3d/>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Sheet1!$U$27:$U$37</c:f>
              <c:multiLvlStrCache>
                <c:ptCount val="5"/>
                <c:lvl>
                  <c:pt idx="0">
                    <c:v>منتج D</c:v>
                  </c:pt>
                  <c:pt idx="1">
                    <c:v>منتج E</c:v>
                  </c:pt>
                  <c:pt idx="2">
                    <c:v>منتج C</c:v>
                  </c:pt>
                  <c:pt idx="3">
                    <c:v>منتج D</c:v>
                  </c:pt>
                  <c:pt idx="4">
                    <c:v>منتج B</c:v>
                  </c:pt>
                </c:lvl>
                <c:lvl>
                  <c:pt idx="0">
                    <c:v>الخبر</c:v>
                  </c:pt>
                  <c:pt idx="1">
                    <c:v>الدمام</c:v>
                  </c:pt>
                  <c:pt idx="2">
                    <c:v>الرياض</c:v>
                  </c:pt>
                  <c:pt idx="3">
                    <c:v>جدة</c:v>
                  </c:pt>
                  <c:pt idx="4">
                    <c:v>مكة</c:v>
                  </c:pt>
                </c:lvl>
              </c:multiLvlStrCache>
            </c:multiLvlStrRef>
          </c:cat>
          <c:val>
            <c:numRef>
              <c:f>Sheet1!$V$27:$V$37</c:f>
              <c:numCache>
                <c:formatCode>General</c:formatCode>
                <c:ptCount val="5"/>
                <c:pt idx="0">
                  <c:v>22963</c:v>
                </c:pt>
                <c:pt idx="1">
                  <c:v>17645</c:v>
                </c:pt>
                <c:pt idx="2">
                  <c:v>26276</c:v>
                </c:pt>
                <c:pt idx="3">
                  <c:v>28330</c:v>
                </c:pt>
                <c:pt idx="4">
                  <c:v>22093</c:v>
                </c:pt>
              </c:numCache>
            </c:numRef>
          </c:val>
          <c:extLst>
            <c:ext xmlns:c16="http://schemas.microsoft.com/office/drawing/2014/chart" uri="{C3380CC4-5D6E-409C-BE32-E72D297353CC}">
              <c16:uniqueId val="{00000002-EAF2-45D3-B6FD-44BB28242E8B}"/>
            </c:ext>
          </c:extLst>
        </c:ser>
        <c:dLbls>
          <c:dLblPos val="outEnd"/>
          <c:showLegendKey val="0"/>
          <c:showVal val="1"/>
          <c:showCatName val="0"/>
          <c:showSerName val="0"/>
          <c:showPercent val="0"/>
          <c:showBubbleSize val="0"/>
        </c:dLbls>
        <c:gapWidth val="150"/>
        <c:axId val="157157135"/>
        <c:axId val="157153775"/>
      </c:barChart>
      <c:catAx>
        <c:axId val="157157135"/>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157153775"/>
        <c:crosses val="autoZero"/>
        <c:auto val="1"/>
        <c:lblAlgn val="ctr"/>
        <c:lblOffset val="100"/>
        <c:noMultiLvlLbl val="0"/>
      </c:catAx>
      <c:valAx>
        <c:axId val="15715377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157157135"/>
        <c:crosses val="autoZero"/>
        <c:crossBetween val="between"/>
      </c:valAx>
      <c:spPr>
        <a:noFill/>
        <a:ln>
          <a:noFill/>
        </a:ln>
        <a:effectLst/>
        <a:sp3d/>
      </c:spPr>
    </c:plotArea>
    <c:plotVisOnly val="1"/>
    <c:dispBlanksAs val="gap"/>
    <c:showDLblsOverMax val="0"/>
    <c:extLst/>
  </c:chart>
  <c:spPr>
    <a:solidFill>
      <a:schemeClr val="accent2">
        <a:lumMod val="40000"/>
        <a:lumOff val="60000"/>
      </a:schemeClr>
    </a:solidFill>
    <a:ln w="25400" cap="flat" cmpd="sng" algn="ctr">
      <a:solidFill>
        <a:schemeClr val="accent2"/>
      </a:solidFill>
      <a:prstDash val="solid"/>
    </a:ln>
    <a:effectLst>
      <a:innerShdw blurRad="63500" dist="50800" dir="13500000">
        <a:prstClr val="black">
          <a:alpha val="50000"/>
        </a:prstClr>
      </a:innerShdw>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[Dataset_مسابقة_محللي_البيانات.xlsx]Sheet1!PivotTable11</c:name>
    <c:fmtId val="6"/>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Total Revenue Distribution Over Time</a:t>
            </a: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8251941213912"/>
          <c:y val="0.2101421839085203"/>
          <c:w val="0.88609058036070298"/>
          <c:h val="0.47523181486173649"/>
        </c:manualLayout>
      </c:layout>
      <c:lineChart>
        <c:grouping val="standard"/>
        <c:varyColors val="0"/>
        <c:ser>
          <c:idx val="0"/>
          <c:order val="0"/>
          <c:tx>
            <c:strRef>
              <c:f>Sheet1!$H$19</c:f>
              <c:strCache>
                <c:ptCount val="1"/>
                <c:pt idx="0">
                  <c:v>Total</c:v>
                </c:pt>
              </c:strCache>
            </c:strRef>
          </c:tx>
          <c:spPr>
            <a:ln w="28575" cap="rnd" cmpd="sng" algn="ctr">
              <a:solidFill>
                <a:schemeClr val="accent2">
                  <a:shade val="95000"/>
                  <a:satMod val="105000"/>
                </a:schemeClr>
              </a:solidFill>
              <a:prstDash val="solid"/>
              <a:round/>
            </a:ln>
            <a:effectLst/>
          </c:spPr>
          <c:marker>
            <c:symbol val="none"/>
          </c:marker>
          <c:cat>
            <c:strRef>
              <c:f>Sheet1!$G$20:$G$50</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Sheet1!$H$20:$H$50</c:f>
              <c:numCache>
                <c:formatCode>General</c:formatCode>
                <c:ptCount val="30"/>
                <c:pt idx="0">
                  <c:v>19003</c:v>
                </c:pt>
                <c:pt idx="1">
                  <c:v>10819</c:v>
                </c:pt>
                <c:pt idx="2">
                  <c:v>15591</c:v>
                </c:pt>
                <c:pt idx="3">
                  <c:v>9589</c:v>
                </c:pt>
                <c:pt idx="4">
                  <c:v>18540</c:v>
                </c:pt>
                <c:pt idx="5">
                  <c:v>15207</c:v>
                </c:pt>
                <c:pt idx="6">
                  <c:v>16091</c:v>
                </c:pt>
                <c:pt idx="7">
                  <c:v>15920</c:v>
                </c:pt>
                <c:pt idx="8">
                  <c:v>14910</c:v>
                </c:pt>
                <c:pt idx="9">
                  <c:v>10992</c:v>
                </c:pt>
                <c:pt idx="10">
                  <c:v>12222</c:v>
                </c:pt>
                <c:pt idx="11">
                  <c:v>18082</c:v>
                </c:pt>
                <c:pt idx="12">
                  <c:v>13492</c:v>
                </c:pt>
                <c:pt idx="13">
                  <c:v>13277</c:v>
                </c:pt>
                <c:pt idx="14">
                  <c:v>13502</c:v>
                </c:pt>
                <c:pt idx="15">
                  <c:v>11067</c:v>
                </c:pt>
                <c:pt idx="16">
                  <c:v>13643</c:v>
                </c:pt>
                <c:pt idx="17">
                  <c:v>14185</c:v>
                </c:pt>
                <c:pt idx="18">
                  <c:v>8235</c:v>
                </c:pt>
                <c:pt idx="19">
                  <c:v>12659</c:v>
                </c:pt>
                <c:pt idx="20">
                  <c:v>10786</c:v>
                </c:pt>
                <c:pt idx="21">
                  <c:v>17691</c:v>
                </c:pt>
                <c:pt idx="22">
                  <c:v>11959</c:v>
                </c:pt>
                <c:pt idx="23">
                  <c:v>14254</c:v>
                </c:pt>
                <c:pt idx="24">
                  <c:v>13035</c:v>
                </c:pt>
                <c:pt idx="25">
                  <c:v>13432</c:v>
                </c:pt>
                <c:pt idx="26">
                  <c:v>12131</c:v>
                </c:pt>
                <c:pt idx="27">
                  <c:v>10353</c:v>
                </c:pt>
                <c:pt idx="28">
                  <c:v>12574</c:v>
                </c:pt>
                <c:pt idx="29">
                  <c:v>13632</c:v>
                </c:pt>
              </c:numCache>
            </c:numRef>
          </c:val>
          <c:smooth val="0"/>
          <c:extLst>
            <c:ext xmlns:c16="http://schemas.microsoft.com/office/drawing/2014/chart" uri="{C3380CC4-5D6E-409C-BE32-E72D297353CC}">
              <c16:uniqueId val="{00000008-4B34-4F4B-8B50-3BBFDA169D3B}"/>
            </c:ext>
          </c:extLst>
        </c:ser>
        <c:dLbls>
          <c:showLegendKey val="0"/>
          <c:showVal val="0"/>
          <c:showCatName val="0"/>
          <c:showSerName val="0"/>
          <c:showPercent val="0"/>
          <c:showBubbleSize val="0"/>
        </c:dLbls>
        <c:upDownBars>
          <c:gapWidth val="150"/>
          <c:upBars>
            <c:spPr>
              <a:solidFill>
                <a:schemeClr val="dk1">
                  <a:tint val="5000"/>
                </a:schemeClr>
              </a:solidFill>
              <a:ln w="9525" cap="flat" cmpd="sng" algn="ctr">
                <a:solidFill>
                  <a:schemeClr val="tx1">
                    <a:shade val="95000"/>
                    <a:satMod val="105000"/>
                  </a:schemeClr>
                </a:solidFill>
                <a:prstDash val="solid"/>
                <a:round/>
              </a:ln>
              <a:effectLst/>
            </c:spPr>
          </c:upBars>
          <c:downBars>
            <c:spPr>
              <a:solidFill>
                <a:schemeClr val="dk1">
                  <a:tint val="95000"/>
                </a:schemeClr>
              </a:solidFill>
              <a:ln w="9525" cap="flat" cmpd="sng" algn="ctr">
                <a:solidFill>
                  <a:schemeClr val="tx1">
                    <a:shade val="95000"/>
                    <a:satMod val="105000"/>
                  </a:schemeClr>
                </a:solidFill>
                <a:prstDash val="solid"/>
                <a:round/>
              </a:ln>
              <a:effectLst/>
            </c:spPr>
          </c:downBars>
        </c:upDownBars>
        <c:smooth val="0"/>
        <c:axId val="157157135"/>
        <c:axId val="157153775"/>
      </c:lineChart>
      <c:catAx>
        <c:axId val="157157135"/>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a:t>Days</a:t>
                </a:r>
                <a:endParaRPr lang="en-US"/>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7153775"/>
        <c:crosses val="autoZero"/>
        <c:auto val="1"/>
        <c:lblAlgn val="ctr"/>
        <c:lblOffset val="100"/>
        <c:noMultiLvlLbl val="0"/>
      </c:catAx>
      <c:valAx>
        <c:axId val="157153775"/>
        <c:scaling>
          <c:orientation val="minMax"/>
        </c:scaling>
        <c:delete val="0"/>
        <c:axPos val="l"/>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a:t>Revenue</a:t>
                </a:r>
                <a:endParaRPr lang="en-US"/>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7157135"/>
        <c:crosses val="autoZero"/>
        <c:crossBetween val="between"/>
      </c:valAx>
      <c:spPr>
        <a:noFill/>
        <a:ln>
          <a:noFill/>
        </a:ln>
        <a:effectLst/>
      </c:spPr>
    </c:plotArea>
    <c:plotVisOnly val="1"/>
    <c:dispBlanksAs val="gap"/>
    <c:showDLblsOverMax val="0"/>
    <c:extLst/>
  </c:chart>
  <c:spPr>
    <a:solidFill>
      <a:schemeClr val="accent2">
        <a:lumMod val="40000"/>
        <a:lumOff val="60000"/>
      </a:schemeClr>
    </a:solidFill>
    <a:ln w="25400" cap="flat" cmpd="sng" algn="ctr">
      <a:solidFill>
        <a:schemeClr val="accent2"/>
      </a:solidFill>
      <a:prstDash val="solid"/>
      <a:round/>
    </a:ln>
    <a:effectLst>
      <a:innerShdw blurRad="63500" dist="50800" dir="13500000">
        <a:prstClr val="black">
          <a:alpha val="50000"/>
        </a:prstClr>
      </a:innerShdw>
    </a:effectLst>
    <a:scene3d>
      <a:camera prst="orthographicFront"/>
      <a:lightRig rig="threePt" dir="t"/>
    </a:scene3d>
    <a:sp3d prstMaterial="matte">
      <a:bevelT w="63500" h="63500" prst="artDeco"/>
      <a:contourClr>
        <a:srgbClr val="000000"/>
      </a:contourClr>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[Dataset_مسابقة_محللي_البيانات.xlsx]Sheet1!PivotTable15</c:name>
    <c:fmtId val="18"/>
  </c:pivotSource>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solidFill>
                  <a:sysClr val="windowText" lastClr="000000"/>
                </a:solidFill>
              </a:rPr>
              <a:t>Percentage of Total Revenue per Product</a:t>
            </a:r>
          </a:p>
        </c:rich>
      </c:tx>
      <c:layout>
        <c:manualLayout>
          <c:xMode val="edge"/>
          <c:yMode val="edge"/>
          <c:x val="0.13453949368458193"/>
          <c:y val="6.615087976993343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spPr>
          <a:solidFill>
            <a:schemeClr val="lt1"/>
          </a:solidFill>
          <a:ln w="19050">
            <a:solidFill>
              <a:schemeClr val="accent2"/>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lt1"/>
          </a:solidFill>
          <a:ln w="19050">
            <a:solidFill>
              <a:schemeClr val="accent2"/>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lt1"/>
          </a:solidFill>
          <a:ln w="19050">
            <a:solidFill>
              <a:schemeClr val="accent2"/>
            </a:solidFill>
          </a:ln>
          <a:effectLst/>
        </c:spPr>
      </c:pivotFmt>
      <c:pivotFmt>
        <c:idx val="3"/>
        <c:spPr>
          <a:solidFill>
            <a:schemeClr val="lt1"/>
          </a:solidFill>
          <a:ln w="19050">
            <a:solidFill>
              <a:schemeClr val="accent2"/>
            </a:solidFill>
          </a:ln>
          <a:effectLst/>
        </c:spPr>
      </c:pivotFmt>
      <c:pivotFmt>
        <c:idx val="4"/>
        <c:spPr>
          <a:solidFill>
            <a:schemeClr val="lt1"/>
          </a:solidFill>
          <a:ln w="19050">
            <a:solidFill>
              <a:schemeClr val="accent2"/>
            </a:solidFill>
          </a:ln>
          <a:effectLst/>
        </c:spPr>
      </c:pivotFmt>
      <c:pivotFmt>
        <c:idx val="5"/>
        <c:spPr>
          <a:solidFill>
            <a:schemeClr val="lt1"/>
          </a:solidFill>
          <a:ln w="19050">
            <a:solidFill>
              <a:schemeClr val="accent2"/>
            </a:solidFill>
          </a:ln>
          <a:effectLst/>
        </c:spPr>
      </c:pivotFmt>
      <c:pivotFmt>
        <c:idx val="6"/>
        <c:spPr>
          <a:solidFill>
            <a:schemeClr val="lt1"/>
          </a:solidFill>
          <a:ln w="19050">
            <a:solidFill>
              <a:schemeClr val="accent2"/>
            </a:solidFill>
          </a:ln>
          <a:effectLst/>
        </c:spPr>
      </c:pivotFmt>
      <c:pivotFmt>
        <c:idx val="7"/>
        <c:spPr>
          <a:solidFill>
            <a:srgbClr val="2683C6">
              <a:lumMod val="20000"/>
              <a:lumOff val="80000"/>
            </a:srgbClr>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80" b="1" i="0" u="none" strike="noStrike" kern="1200" baseline="0">
                  <a:solidFill>
                    <a:schemeClr val="accent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2683C6">
              <a:lumMod val="20000"/>
              <a:lumOff val="80000"/>
            </a:srgbClr>
          </a:solidFill>
          <a:ln w="19050">
            <a:solidFill>
              <a:schemeClr val="accent2"/>
            </a:solidFill>
          </a:ln>
          <a:effectLst/>
        </c:spPr>
      </c:pivotFmt>
      <c:pivotFmt>
        <c:idx val="9"/>
        <c:spPr>
          <a:solidFill>
            <a:srgbClr val="2683C6">
              <a:lumMod val="20000"/>
              <a:lumOff val="80000"/>
            </a:srgbClr>
          </a:solidFill>
          <a:ln w="19050">
            <a:solidFill>
              <a:schemeClr val="accent2"/>
            </a:solidFill>
          </a:ln>
          <a:effectLst/>
        </c:spPr>
      </c:pivotFmt>
      <c:pivotFmt>
        <c:idx val="10"/>
        <c:spPr>
          <a:solidFill>
            <a:srgbClr val="2683C6">
              <a:lumMod val="20000"/>
              <a:lumOff val="80000"/>
            </a:srgbClr>
          </a:solidFill>
          <a:ln w="19050">
            <a:solidFill>
              <a:schemeClr val="accent2"/>
            </a:solidFill>
          </a:ln>
          <a:effectLst/>
        </c:spPr>
      </c:pivotFmt>
      <c:pivotFmt>
        <c:idx val="11"/>
        <c:spPr>
          <a:solidFill>
            <a:srgbClr val="2683C6">
              <a:lumMod val="20000"/>
              <a:lumOff val="80000"/>
            </a:srgbClr>
          </a:solidFill>
          <a:ln w="19050">
            <a:solidFill>
              <a:schemeClr val="accent2"/>
            </a:solidFill>
          </a:ln>
          <a:effectLst/>
        </c:spPr>
      </c:pivotFmt>
      <c:pivotFmt>
        <c:idx val="12"/>
        <c:spPr>
          <a:solidFill>
            <a:srgbClr val="2683C6">
              <a:lumMod val="20000"/>
              <a:lumOff val="80000"/>
            </a:srgbClr>
          </a:solidFill>
          <a:ln w="19050">
            <a:solidFill>
              <a:schemeClr val="accent2"/>
            </a:solidFill>
          </a:ln>
          <a:effectLst/>
        </c:spPr>
      </c:pivotFmt>
    </c:pivotFmts>
    <c:plotArea>
      <c:layout>
        <c:manualLayout>
          <c:layoutTarget val="inner"/>
          <c:xMode val="edge"/>
          <c:yMode val="edge"/>
          <c:x val="9.8347023162357688E-2"/>
          <c:y val="0.3141453642040769"/>
          <c:w val="0.79722536201806127"/>
          <c:h val="0.62333393100386569"/>
        </c:manualLayout>
      </c:layout>
      <c:doughnutChart>
        <c:varyColors val="1"/>
        <c:ser>
          <c:idx val="0"/>
          <c:order val="0"/>
          <c:tx>
            <c:strRef>
              <c:f>Sheet1!$L$32</c:f>
              <c:strCache>
                <c:ptCount val="1"/>
                <c:pt idx="0">
                  <c:v>Total</c:v>
                </c:pt>
              </c:strCache>
            </c:strRef>
          </c:tx>
          <c:spPr>
            <a:solidFill>
              <a:srgbClr val="2683C6">
                <a:lumMod val="20000"/>
                <a:lumOff val="80000"/>
              </a:srgbClr>
            </a:solidFill>
            <a:ln w="19050">
              <a:solidFill>
                <a:schemeClr val="accent2"/>
              </a:solidFill>
            </a:ln>
            <a:effectLst/>
          </c:spPr>
          <c:dPt>
            <c:idx val="0"/>
            <c:bubble3D val="0"/>
            <c:spPr>
              <a:solidFill>
                <a:srgbClr val="2683C6">
                  <a:lumMod val="20000"/>
                  <a:lumOff val="80000"/>
                </a:srgbClr>
              </a:solidFill>
              <a:ln w="19050">
                <a:solidFill>
                  <a:schemeClr val="accent2"/>
                </a:solidFill>
              </a:ln>
              <a:effectLst/>
            </c:spPr>
            <c:extLst>
              <c:ext xmlns:c16="http://schemas.microsoft.com/office/drawing/2014/chart" uri="{C3380CC4-5D6E-409C-BE32-E72D297353CC}">
                <c16:uniqueId val="{00000001-6053-4ECC-B8A3-42A45218B560}"/>
              </c:ext>
            </c:extLst>
          </c:dPt>
          <c:dPt>
            <c:idx val="1"/>
            <c:bubble3D val="0"/>
            <c:spPr>
              <a:solidFill>
                <a:srgbClr val="2683C6">
                  <a:lumMod val="20000"/>
                  <a:lumOff val="80000"/>
                </a:srgbClr>
              </a:solidFill>
              <a:ln w="19050">
                <a:solidFill>
                  <a:schemeClr val="accent2"/>
                </a:solidFill>
              </a:ln>
              <a:effectLst/>
            </c:spPr>
            <c:extLst>
              <c:ext xmlns:c16="http://schemas.microsoft.com/office/drawing/2014/chart" uri="{C3380CC4-5D6E-409C-BE32-E72D297353CC}">
                <c16:uniqueId val="{00000003-6053-4ECC-B8A3-42A45218B560}"/>
              </c:ext>
            </c:extLst>
          </c:dPt>
          <c:dPt>
            <c:idx val="2"/>
            <c:bubble3D val="0"/>
            <c:spPr>
              <a:solidFill>
                <a:srgbClr val="2683C6">
                  <a:lumMod val="20000"/>
                  <a:lumOff val="80000"/>
                </a:srgbClr>
              </a:solidFill>
              <a:ln w="19050">
                <a:solidFill>
                  <a:schemeClr val="accent2"/>
                </a:solidFill>
              </a:ln>
              <a:effectLst/>
            </c:spPr>
            <c:extLst>
              <c:ext xmlns:c16="http://schemas.microsoft.com/office/drawing/2014/chart" uri="{C3380CC4-5D6E-409C-BE32-E72D297353CC}">
                <c16:uniqueId val="{00000005-6053-4ECC-B8A3-42A45218B560}"/>
              </c:ext>
            </c:extLst>
          </c:dPt>
          <c:dPt>
            <c:idx val="3"/>
            <c:bubble3D val="0"/>
            <c:spPr>
              <a:solidFill>
                <a:srgbClr val="2683C6">
                  <a:lumMod val="20000"/>
                  <a:lumOff val="80000"/>
                </a:srgbClr>
              </a:solidFill>
              <a:ln w="19050">
                <a:solidFill>
                  <a:schemeClr val="accent2"/>
                </a:solidFill>
              </a:ln>
              <a:effectLst/>
            </c:spPr>
            <c:extLst>
              <c:ext xmlns:c16="http://schemas.microsoft.com/office/drawing/2014/chart" uri="{C3380CC4-5D6E-409C-BE32-E72D297353CC}">
                <c16:uniqueId val="{00000007-6053-4ECC-B8A3-42A45218B560}"/>
              </c:ext>
            </c:extLst>
          </c:dPt>
          <c:dPt>
            <c:idx val="4"/>
            <c:bubble3D val="0"/>
            <c:spPr>
              <a:solidFill>
                <a:srgbClr val="2683C6">
                  <a:lumMod val="20000"/>
                  <a:lumOff val="80000"/>
                </a:srgbClr>
              </a:solidFill>
              <a:ln w="19050">
                <a:solidFill>
                  <a:schemeClr val="accent2"/>
                </a:solidFill>
              </a:ln>
              <a:effectLst/>
            </c:spPr>
            <c:extLst>
              <c:ext xmlns:c16="http://schemas.microsoft.com/office/drawing/2014/chart" uri="{C3380CC4-5D6E-409C-BE32-E72D297353CC}">
                <c16:uniqueId val="{00000009-6053-4ECC-B8A3-42A45218B560}"/>
              </c:ext>
            </c:extLst>
          </c:dPt>
          <c:dLbls>
            <c:spPr>
              <a:noFill/>
              <a:ln>
                <a:noFill/>
              </a:ln>
              <a:effectLst/>
            </c:spPr>
            <c:txPr>
              <a:bodyPr rot="0" spcFirstLastPara="1" vertOverflow="ellipsis" vert="horz" wrap="square" lIns="38100" tIns="19050" rIns="38100" bIns="19050" anchor="ctr" anchorCtr="1">
                <a:spAutoFit/>
              </a:bodyPr>
              <a:lstStyle/>
              <a:p>
                <a:pPr>
                  <a:defRPr sz="980" b="1" i="0" u="none" strike="noStrike" kern="1200" baseline="0">
                    <a:solidFill>
                      <a:schemeClr val="accent2">
                        <a:lumMod val="5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Sheet1!$K$33:$K$38</c:f>
              <c:strCache>
                <c:ptCount val="5"/>
                <c:pt idx="0">
                  <c:v>منتج A</c:v>
                </c:pt>
                <c:pt idx="1">
                  <c:v>منتج B</c:v>
                </c:pt>
                <c:pt idx="2">
                  <c:v>منتج C</c:v>
                </c:pt>
                <c:pt idx="3">
                  <c:v>منتج D</c:v>
                </c:pt>
                <c:pt idx="4">
                  <c:v>منتج E</c:v>
                </c:pt>
              </c:strCache>
            </c:strRef>
          </c:cat>
          <c:val>
            <c:numRef>
              <c:f>Sheet1!$L$33:$L$38</c:f>
              <c:numCache>
                <c:formatCode>General</c:formatCode>
                <c:ptCount val="5"/>
                <c:pt idx="0">
                  <c:v>1</c:v>
                </c:pt>
                <c:pt idx="1">
                  <c:v>1.0453687104099438</c:v>
                </c:pt>
                <c:pt idx="2">
                  <c:v>0.86104936058324366</c:v>
                </c:pt>
                <c:pt idx="3">
                  <c:v>1.0515955539619934</c:v>
                </c:pt>
                <c:pt idx="4">
                  <c:v>0.9048165411736584</c:v>
                </c:pt>
              </c:numCache>
            </c:numRef>
          </c:val>
          <c:extLst>
            <c:ext xmlns:c16="http://schemas.microsoft.com/office/drawing/2014/chart" uri="{C3380CC4-5D6E-409C-BE32-E72D297353CC}">
              <c16:uniqueId val="{0000000A-6053-4ECC-B8A3-42A45218B560}"/>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83C6">
        <a:lumMod val="60000"/>
        <a:lumOff val="40000"/>
      </a:srgbClr>
    </a:solidFill>
    <a:ln w="9525" cap="flat" cmpd="sng" algn="ctr">
      <a:solidFill>
        <a:srgbClr val="1CADE4">
          <a:lumMod val="60000"/>
          <a:lumOff val="40000"/>
        </a:srgbClr>
      </a:solidFill>
      <a:round/>
    </a:ln>
    <a:effectLst>
      <a:innerShdw blurRad="63500" dist="50800" dir="13500000">
        <a:prstClr val="black">
          <a:alpha val="50000"/>
        </a:prstClr>
      </a:inn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200212</xdr:colOff>
      <xdr:row>0</xdr:row>
      <xdr:rowOff>46915</xdr:rowOff>
    </xdr:from>
    <xdr:to>
      <xdr:col>30</xdr:col>
      <xdr:colOff>599440</xdr:colOff>
      <xdr:row>3</xdr:row>
      <xdr:rowOff>77395</xdr:rowOff>
    </xdr:to>
    <xdr:sp macro="" textlink="">
      <xdr:nvSpPr>
        <xdr:cNvPr id="3" name="Rectangle: Rounded Corners 2">
          <a:extLst>
            <a:ext uri="{FF2B5EF4-FFF2-40B4-BE49-F238E27FC236}">
              <a16:creationId xmlns:a16="http://schemas.microsoft.com/office/drawing/2014/main" id="{0160A47B-8C5C-4526-0130-E374AAD4E018}"/>
            </a:ext>
          </a:extLst>
        </xdr:cNvPr>
        <xdr:cNvSpPr/>
      </xdr:nvSpPr>
      <xdr:spPr>
        <a:xfrm>
          <a:off x="200212" y="46915"/>
          <a:ext cx="18687228" cy="5791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Revenue Analysis Dashboard – Saudi Arabia</a:t>
          </a:r>
        </a:p>
      </xdr:txBody>
    </xdr:sp>
    <xdr:clientData/>
  </xdr:twoCellAnchor>
  <xdr:twoCellAnchor>
    <xdr:from>
      <xdr:col>0</xdr:col>
      <xdr:colOff>172720</xdr:colOff>
      <xdr:row>3</xdr:row>
      <xdr:rowOff>111760</xdr:rowOff>
    </xdr:from>
    <xdr:to>
      <xdr:col>30</xdr:col>
      <xdr:colOff>579120</xdr:colOff>
      <xdr:row>36</xdr:row>
      <xdr:rowOff>111760</xdr:rowOff>
    </xdr:to>
    <xdr:sp macro="" textlink="">
      <xdr:nvSpPr>
        <xdr:cNvPr id="5" name="Rectangle 4">
          <a:extLst>
            <a:ext uri="{FF2B5EF4-FFF2-40B4-BE49-F238E27FC236}">
              <a16:creationId xmlns:a16="http://schemas.microsoft.com/office/drawing/2014/main" id="{7BF96F7F-802E-B96B-B478-55B282087399}"/>
            </a:ext>
          </a:extLst>
        </xdr:cNvPr>
        <xdr:cNvSpPr/>
      </xdr:nvSpPr>
      <xdr:spPr>
        <a:xfrm>
          <a:off x="172720" y="660400"/>
          <a:ext cx="18694400" cy="60350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490220</xdr:colOff>
      <xdr:row>0</xdr:row>
      <xdr:rowOff>76200</xdr:rowOff>
    </xdr:from>
    <xdr:to>
      <xdr:col>3</xdr:col>
      <xdr:colOff>121920</xdr:colOff>
      <xdr:row>3</xdr:row>
      <xdr:rowOff>22860</xdr:rowOff>
    </xdr:to>
    <xdr:pic>
      <xdr:nvPicPr>
        <xdr:cNvPr id="9" name="Picture 8">
          <a:extLst>
            <a:ext uri="{FF2B5EF4-FFF2-40B4-BE49-F238E27FC236}">
              <a16:creationId xmlns:a16="http://schemas.microsoft.com/office/drawing/2014/main" id="{C159E506-9859-F5D8-A5EA-F7E520BB2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220" y="76200"/>
          <a:ext cx="1460500" cy="495300"/>
        </a:xfrm>
        <a:prstGeom prst="rect">
          <a:avLst/>
        </a:prstGeom>
      </xdr:spPr>
    </xdr:pic>
    <xdr:clientData/>
  </xdr:twoCellAnchor>
  <xdr:twoCellAnchor editAs="oneCell">
    <xdr:from>
      <xdr:col>27</xdr:col>
      <xdr:colOff>172721</xdr:colOff>
      <xdr:row>0</xdr:row>
      <xdr:rowOff>96818</xdr:rowOff>
    </xdr:from>
    <xdr:to>
      <xdr:col>29</xdr:col>
      <xdr:colOff>582591</xdr:colOff>
      <xdr:row>3</xdr:row>
      <xdr:rowOff>30480</xdr:rowOff>
    </xdr:to>
    <xdr:pic>
      <xdr:nvPicPr>
        <xdr:cNvPr id="11" name="Picture 10">
          <a:extLst>
            <a:ext uri="{FF2B5EF4-FFF2-40B4-BE49-F238E27FC236}">
              <a16:creationId xmlns:a16="http://schemas.microsoft.com/office/drawing/2014/main" id="{4B42CD21-3E99-1993-61A1-CD614A29C1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631921" y="96818"/>
          <a:ext cx="1629070" cy="482302"/>
        </a:xfrm>
        <a:prstGeom prst="rect">
          <a:avLst/>
        </a:prstGeom>
      </xdr:spPr>
    </xdr:pic>
    <xdr:clientData/>
  </xdr:twoCellAnchor>
  <xdr:twoCellAnchor>
    <xdr:from>
      <xdr:col>0</xdr:col>
      <xdr:colOff>314961</xdr:colOff>
      <xdr:row>4</xdr:row>
      <xdr:rowOff>52593</xdr:rowOff>
    </xdr:from>
    <xdr:to>
      <xdr:col>6</xdr:col>
      <xdr:colOff>579121</xdr:colOff>
      <xdr:row>17</xdr:row>
      <xdr:rowOff>152400</xdr:rowOff>
    </xdr:to>
    <xdr:graphicFrame macro="">
      <xdr:nvGraphicFramePr>
        <xdr:cNvPr id="12" name="Chart 11">
          <a:extLst>
            <a:ext uri="{FF2B5EF4-FFF2-40B4-BE49-F238E27FC236}">
              <a16:creationId xmlns:a16="http://schemas.microsoft.com/office/drawing/2014/main" id="{514E74ED-A06A-4EB0-99FB-7F0F70385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599440</xdr:colOff>
      <xdr:row>18</xdr:row>
      <xdr:rowOff>32570</xdr:rowOff>
    </xdr:from>
    <xdr:to>
      <xdr:col>12</xdr:col>
      <xdr:colOff>568662</xdr:colOff>
      <xdr:row>36</xdr:row>
      <xdr:rowOff>91440</xdr:rowOff>
    </xdr:to>
    <xdr:graphicFrame macro="">
      <xdr:nvGraphicFramePr>
        <xdr:cNvPr id="13" name="Chart 12">
          <a:extLst>
            <a:ext uri="{FF2B5EF4-FFF2-40B4-BE49-F238E27FC236}">
              <a16:creationId xmlns:a16="http://schemas.microsoft.com/office/drawing/2014/main" id="{E1A567CB-C62F-4987-8946-E02D0A007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586440</xdr:colOff>
      <xdr:row>18</xdr:row>
      <xdr:rowOff>17331</xdr:rowOff>
    </xdr:from>
    <xdr:to>
      <xdr:col>22</xdr:col>
      <xdr:colOff>507999</xdr:colOff>
      <xdr:row>36</xdr:row>
      <xdr:rowOff>40640</xdr:rowOff>
    </xdr:to>
    <xdr:graphicFrame macro="">
      <xdr:nvGraphicFramePr>
        <xdr:cNvPr id="14" name="Chart 13">
          <a:extLst>
            <a:ext uri="{FF2B5EF4-FFF2-40B4-BE49-F238E27FC236}">
              <a16:creationId xmlns:a16="http://schemas.microsoft.com/office/drawing/2014/main" id="{1679063F-6721-4B26-8D05-581AC7AD7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314960</xdr:colOff>
      <xdr:row>17</xdr:row>
      <xdr:rowOff>181087</xdr:rowOff>
    </xdr:from>
    <xdr:to>
      <xdr:col>6</xdr:col>
      <xdr:colOff>568960</xdr:colOff>
      <xdr:row>36</xdr:row>
      <xdr:rowOff>30480</xdr:rowOff>
    </xdr:to>
    <xdr:graphicFrame macro="">
      <xdr:nvGraphicFramePr>
        <xdr:cNvPr id="15" name="Chart 14">
          <a:extLst>
            <a:ext uri="{FF2B5EF4-FFF2-40B4-BE49-F238E27FC236}">
              <a16:creationId xmlns:a16="http://schemas.microsoft.com/office/drawing/2014/main" id="{D6474B52-3AAA-4DE5-9B6A-6D2BC79A7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599440</xdr:colOff>
      <xdr:row>4</xdr:row>
      <xdr:rowOff>55134</xdr:rowOff>
    </xdr:from>
    <xdr:to>
      <xdr:col>22</xdr:col>
      <xdr:colOff>528321</xdr:colOff>
      <xdr:row>18</xdr:row>
      <xdr:rowOff>30480</xdr:rowOff>
    </xdr:to>
    <xdr:graphicFrame macro="">
      <xdr:nvGraphicFramePr>
        <xdr:cNvPr id="16" name="Chart 15">
          <a:extLst>
            <a:ext uri="{FF2B5EF4-FFF2-40B4-BE49-F238E27FC236}">
              <a16:creationId xmlns:a16="http://schemas.microsoft.com/office/drawing/2014/main" id="{98629660-0A62-4D0C-91FE-9E571EE33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579121</xdr:colOff>
      <xdr:row>4</xdr:row>
      <xdr:rowOff>71119</xdr:rowOff>
    </xdr:from>
    <xdr:to>
      <xdr:col>26</xdr:col>
      <xdr:colOff>111761</xdr:colOff>
      <xdr:row>17</xdr:row>
      <xdr:rowOff>132080</xdr:rowOff>
    </xdr:to>
    <xdr:sp macro="" textlink="">
      <xdr:nvSpPr>
        <xdr:cNvPr id="29" name="Rectangle 28">
          <a:extLst>
            <a:ext uri="{FF2B5EF4-FFF2-40B4-BE49-F238E27FC236}">
              <a16:creationId xmlns:a16="http://schemas.microsoft.com/office/drawing/2014/main" id="{D23C0AC7-BA90-8DB2-CDA5-3FC784B059F3}"/>
            </a:ext>
          </a:extLst>
        </xdr:cNvPr>
        <xdr:cNvSpPr/>
      </xdr:nvSpPr>
      <xdr:spPr>
        <a:xfrm>
          <a:off x="13990321" y="802639"/>
          <a:ext cx="1971040" cy="2438401"/>
        </a:xfrm>
        <a:prstGeom prst="rect">
          <a:avLst/>
        </a:prstGeom>
        <a:solidFill>
          <a:schemeClr val="accent2">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ysClr val="windowText" lastClr="000000"/>
              </a:solidFill>
            </a:rPr>
            <a:t>Total Revenue</a:t>
          </a:r>
        </a:p>
      </xdr:txBody>
    </xdr:sp>
    <xdr:clientData/>
  </xdr:twoCellAnchor>
  <xdr:twoCellAnchor>
    <xdr:from>
      <xdr:col>22</xdr:col>
      <xdr:colOff>579120</xdr:colOff>
      <xdr:row>6</xdr:row>
      <xdr:rowOff>162560</xdr:rowOff>
    </xdr:from>
    <xdr:to>
      <xdr:col>26</xdr:col>
      <xdr:colOff>111760</xdr:colOff>
      <xdr:row>6</xdr:row>
      <xdr:rowOff>162560</xdr:rowOff>
    </xdr:to>
    <xdr:cxnSp macro="">
      <xdr:nvCxnSpPr>
        <xdr:cNvPr id="33" name="Straight Connector 32">
          <a:extLst>
            <a:ext uri="{FF2B5EF4-FFF2-40B4-BE49-F238E27FC236}">
              <a16:creationId xmlns:a16="http://schemas.microsoft.com/office/drawing/2014/main" id="{570EC83C-F4A1-0421-7FF4-AAEC957BF822}"/>
            </a:ext>
          </a:extLst>
        </xdr:cNvPr>
        <xdr:cNvCxnSpPr/>
      </xdr:nvCxnSpPr>
      <xdr:spPr>
        <a:xfrm>
          <a:off x="13990320" y="1259840"/>
          <a:ext cx="1971040" cy="0"/>
        </a:xfrm>
        <a:prstGeom prst="line">
          <a:avLst/>
        </a:prstGeom>
        <a:ln>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243840</xdr:colOff>
      <xdr:row>9</xdr:row>
      <xdr:rowOff>101600</xdr:rowOff>
    </xdr:from>
    <xdr:ext cx="1371600" cy="894080"/>
    <xdr:sp macro="" textlink="">
      <xdr:nvSpPr>
        <xdr:cNvPr id="37" name="TextBox 36">
          <a:extLst>
            <a:ext uri="{FF2B5EF4-FFF2-40B4-BE49-F238E27FC236}">
              <a16:creationId xmlns:a16="http://schemas.microsoft.com/office/drawing/2014/main" id="{7B340A96-14D6-F182-5E9C-61C0EBFBDE00}"/>
            </a:ext>
          </a:extLst>
        </xdr:cNvPr>
        <xdr:cNvSpPr txBox="1"/>
      </xdr:nvSpPr>
      <xdr:spPr>
        <a:xfrm>
          <a:off x="14264640" y="1747520"/>
          <a:ext cx="1371600" cy="894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0" i="0" u="none" strike="noStrike">
              <a:solidFill>
                <a:schemeClr val="tx1"/>
              </a:solidFill>
              <a:effectLst/>
              <a:latin typeface="+mn-lt"/>
              <a:ea typeface="+mn-ea"/>
              <a:cs typeface="+mn-cs"/>
            </a:rPr>
            <a:t>406,873.00</a:t>
          </a:r>
          <a:r>
            <a:rPr lang="en-US" sz="1400">
              <a:effectLst/>
            </a:rPr>
            <a:t> </a:t>
          </a:r>
          <a:endParaRPr lang="en-US" sz="1400"/>
        </a:p>
      </xdr:txBody>
    </xdr:sp>
    <xdr:clientData/>
  </xdr:oneCellAnchor>
  <xdr:oneCellAnchor>
    <xdr:from>
      <xdr:col>23</xdr:col>
      <xdr:colOff>213360</xdr:colOff>
      <xdr:row>12</xdr:row>
      <xdr:rowOff>121920</xdr:rowOff>
    </xdr:from>
    <xdr:ext cx="1391920" cy="558800"/>
    <xdr:sp macro="" textlink="">
      <xdr:nvSpPr>
        <xdr:cNvPr id="38" name="TextBox 37">
          <a:extLst>
            <a:ext uri="{FF2B5EF4-FFF2-40B4-BE49-F238E27FC236}">
              <a16:creationId xmlns:a16="http://schemas.microsoft.com/office/drawing/2014/main" id="{07D11CA7-8220-39F5-609C-C1E6614F257E}"/>
            </a:ext>
          </a:extLst>
        </xdr:cNvPr>
        <xdr:cNvSpPr txBox="1"/>
      </xdr:nvSpPr>
      <xdr:spPr>
        <a:xfrm>
          <a:off x="14234160" y="2316480"/>
          <a:ext cx="1391920" cy="55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0" i="0">
              <a:solidFill>
                <a:schemeClr val="tx1"/>
              </a:solidFill>
              <a:effectLst/>
              <a:latin typeface="+mn-lt"/>
              <a:ea typeface="+mn-ea"/>
              <a:cs typeface="+mn-cs"/>
            </a:rPr>
            <a:t>SAR</a:t>
          </a:r>
          <a:r>
            <a:rPr lang="en-US" sz="1100" b="0" i="0">
              <a:solidFill>
                <a:schemeClr val="tx1"/>
              </a:solidFill>
              <a:effectLst/>
              <a:latin typeface="+mn-lt"/>
              <a:ea typeface="+mn-ea"/>
              <a:cs typeface="+mn-cs"/>
            </a:rPr>
            <a:t> </a:t>
          </a:r>
          <a:endParaRPr lang="en-US" sz="1100"/>
        </a:p>
      </xdr:txBody>
    </xdr:sp>
    <xdr:clientData/>
  </xdr:oneCellAnchor>
  <xdr:twoCellAnchor>
    <xdr:from>
      <xdr:col>22</xdr:col>
      <xdr:colOff>546249</xdr:colOff>
      <xdr:row>18</xdr:row>
      <xdr:rowOff>58569</xdr:rowOff>
    </xdr:from>
    <xdr:to>
      <xdr:col>26</xdr:col>
      <xdr:colOff>101600</xdr:colOff>
      <xdr:row>36</xdr:row>
      <xdr:rowOff>30480</xdr:rowOff>
    </xdr:to>
    <xdr:graphicFrame macro="">
      <xdr:nvGraphicFramePr>
        <xdr:cNvPr id="45" name="Chart 44">
          <a:extLst>
            <a:ext uri="{FF2B5EF4-FFF2-40B4-BE49-F238E27FC236}">
              <a16:creationId xmlns:a16="http://schemas.microsoft.com/office/drawing/2014/main" id="{61BC3852-4489-48A9-8D74-4BF877A5F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203200</xdr:colOff>
      <xdr:row>26</xdr:row>
      <xdr:rowOff>177801</xdr:rowOff>
    </xdr:from>
    <xdr:to>
      <xdr:col>30</xdr:col>
      <xdr:colOff>274320</xdr:colOff>
      <xdr:row>36</xdr:row>
      <xdr:rowOff>10161</xdr:rowOff>
    </xdr:to>
    <mc:AlternateContent xmlns:mc="http://schemas.openxmlformats.org/markup-compatibility/2006" xmlns:a14="http://schemas.microsoft.com/office/drawing/2010/main">
      <mc:Choice Requires="a14">
        <xdr:graphicFrame macro="">
          <xdr:nvGraphicFramePr>
            <xdr:cNvPr id="7" name="المنطقة">
              <a:extLst>
                <a:ext uri="{FF2B5EF4-FFF2-40B4-BE49-F238E27FC236}">
                  <a16:creationId xmlns:a16="http://schemas.microsoft.com/office/drawing/2014/main" id="{4DF1C23F-D2F6-F94A-E803-EB0541708939}"/>
                </a:ext>
              </a:extLst>
            </xdr:cNvPr>
            <xdr:cNvGraphicFramePr/>
          </xdr:nvGraphicFramePr>
          <xdr:xfrm>
            <a:off x="0" y="0"/>
            <a:ext cx="0" cy="0"/>
          </xdr:xfrm>
          <a:graphic>
            <a:graphicData uri="http://schemas.microsoft.com/office/drawing/2010/slicer">
              <sle:slicer xmlns:sle="http://schemas.microsoft.com/office/drawing/2010/slicer" name="المنطقة"/>
            </a:graphicData>
          </a:graphic>
        </xdr:graphicFrame>
      </mc:Choice>
      <mc:Fallback xmlns="">
        <xdr:sp macro="" textlink="">
          <xdr:nvSpPr>
            <xdr:cNvPr id="0" name=""/>
            <xdr:cNvSpPr>
              <a:spLocks noTextEdit="1"/>
            </xdr:cNvSpPr>
          </xdr:nvSpPr>
          <xdr:spPr>
            <a:xfrm>
              <a:off x="16052800" y="4932681"/>
              <a:ext cx="250952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193040</xdr:colOff>
      <xdr:row>13</xdr:row>
      <xdr:rowOff>139700</xdr:rowOff>
    </xdr:from>
    <xdr:to>
      <xdr:col>30</xdr:col>
      <xdr:colOff>274320</xdr:colOff>
      <xdr:row>26</xdr:row>
      <xdr:rowOff>111760</xdr:rowOff>
    </xdr:to>
    <mc:AlternateContent xmlns:mc="http://schemas.openxmlformats.org/markup-compatibility/2006" xmlns:a14="http://schemas.microsoft.com/office/drawing/2010/main">
      <mc:Choice Requires="a14">
        <xdr:graphicFrame macro="">
          <xdr:nvGraphicFramePr>
            <xdr:cNvPr id="8" name="Day">
              <a:extLst>
                <a:ext uri="{FF2B5EF4-FFF2-40B4-BE49-F238E27FC236}">
                  <a16:creationId xmlns:a16="http://schemas.microsoft.com/office/drawing/2014/main" id="{3008A6C9-5A69-2E2B-5D47-F90A44C00B12}"/>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6042640" y="2517140"/>
              <a:ext cx="2519680" cy="234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162560</xdr:colOff>
      <xdr:row>4</xdr:row>
      <xdr:rowOff>20321</xdr:rowOff>
    </xdr:from>
    <xdr:to>
      <xdr:col>30</xdr:col>
      <xdr:colOff>243840</xdr:colOff>
      <xdr:row>13</xdr:row>
      <xdr:rowOff>60960</xdr:rowOff>
    </xdr:to>
    <mc:AlternateContent xmlns:mc="http://schemas.openxmlformats.org/markup-compatibility/2006" xmlns:a14="http://schemas.microsoft.com/office/drawing/2010/main">
      <mc:Choice Requires="a14">
        <xdr:graphicFrame macro="">
          <xdr:nvGraphicFramePr>
            <xdr:cNvPr id="10" name="المنتج">
              <a:extLst>
                <a:ext uri="{FF2B5EF4-FFF2-40B4-BE49-F238E27FC236}">
                  <a16:creationId xmlns:a16="http://schemas.microsoft.com/office/drawing/2014/main" id="{9D41F252-C2AD-CE1B-CCFC-300652BB64EF}"/>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mlns="">
        <xdr:sp macro="" textlink="">
          <xdr:nvSpPr>
            <xdr:cNvPr id="0" name=""/>
            <xdr:cNvSpPr>
              <a:spLocks noTextEdit="1"/>
            </xdr:cNvSpPr>
          </xdr:nvSpPr>
          <xdr:spPr>
            <a:xfrm>
              <a:off x="16012160" y="751841"/>
              <a:ext cx="2519680" cy="1686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02.701729282409" createdVersion="8" refreshedVersion="8" minRefreshableVersion="3" recordCount="150" xr:uid="{7A7746CD-A6DF-44C4-B0CC-1DB7A63F7D26}">
  <cacheSource type="worksheet">
    <worksheetSource name="Table1"/>
  </cacheSource>
  <cacheFields count="5">
    <cacheField name="التاريخ" numFmtId="16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المنتج" numFmtId="0">
      <sharedItems count="5">
        <s v="منتج A"/>
        <s v="منتج B"/>
        <s v="منتج C"/>
        <s v="منتج D"/>
        <s v="منتج E"/>
      </sharedItems>
    </cacheField>
    <cacheField name="المنطقة" numFmtId="0">
      <sharedItems count="5">
        <s v="الرياض"/>
        <s v="جدة"/>
        <s v="الخبر"/>
        <s v="مكة"/>
        <s v="الدمام"/>
      </sharedItems>
    </cacheField>
    <cacheField name="الإيرادات" numFmtId="0">
      <sharedItems containsSemiMixedTypes="0" containsString="0" containsNumber="1" containsInteger="1" minValue="529" maxValue="4916"/>
    </cacheField>
    <cacheField name="Day" numFmtId="0">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cacheField>
  </cacheFields>
  <extLst>
    <ext xmlns:x14="http://schemas.microsoft.com/office/spreadsheetml/2009/9/main" uri="{725AE2AE-9491-48be-B2B4-4EB974FC3084}">
      <x14:pivotCacheDefinition pivotCacheId="7109025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2.261365856481" backgroundQuery="1" createdVersion="8" refreshedVersion="8" minRefreshableVersion="3" recordCount="0" supportSubquery="1" supportAdvancedDrill="1" xr:uid="{47F178B1-5E50-4037-B783-380821E646FA}">
  <cacheSource type="external" connectionId="1"/>
  <cacheFields count="3">
    <cacheField name="[Measures].[Sum of الإيرادات]" caption="Sum of الإيرادات" numFmtId="0" hierarchy="13" level="32767"/>
    <cacheField name="[Range].[Day].[Day]" caption="Day" numFmtId="0" hierarchy="4"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Range].[Day].&amp;[1]"/>
            <x15:cachedUniqueName index="1" name="[Range].[Day].&amp;[2]"/>
            <x15:cachedUniqueName index="2" name="[Range].[Day].&amp;[3]"/>
            <x15:cachedUniqueName index="3" name="[Range].[Day].&amp;[4]"/>
            <x15:cachedUniqueName index="4" name="[Range].[Day].&amp;[5]"/>
            <x15:cachedUniqueName index="5" name="[Range].[Day].&amp;[6]"/>
            <x15:cachedUniqueName index="6" name="[Range].[Day].&amp;[7]"/>
            <x15:cachedUniqueName index="7" name="[Range].[Day].&amp;[8]"/>
            <x15:cachedUniqueName index="8" name="[Range].[Day].&amp;[9]"/>
            <x15:cachedUniqueName index="9" name="[Range].[Day].&amp;[10]"/>
            <x15:cachedUniqueName index="10" name="[Range].[Day].&amp;[11]"/>
            <x15:cachedUniqueName index="11" name="[Range].[Day].&amp;[12]"/>
            <x15:cachedUniqueName index="12" name="[Range].[Day].&amp;[13]"/>
            <x15:cachedUniqueName index="13" name="[Range].[Day].&amp;[14]"/>
            <x15:cachedUniqueName index="14" name="[Range].[Day].&amp;[15]"/>
            <x15:cachedUniqueName index="15" name="[Range].[Day].&amp;[16]"/>
            <x15:cachedUniqueName index="16" name="[Range].[Day].&amp;[17]"/>
            <x15:cachedUniqueName index="17" name="[Range].[Day].&amp;[18]"/>
            <x15:cachedUniqueName index="18" name="[Range].[Day].&amp;[19]"/>
            <x15:cachedUniqueName index="19" name="[Range].[Day].&amp;[20]"/>
            <x15:cachedUniqueName index="20" name="[Range].[Day].&amp;[21]"/>
            <x15:cachedUniqueName index="21" name="[Range].[Day].&amp;[22]"/>
            <x15:cachedUniqueName index="22" name="[Range].[Day].&amp;[23]"/>
            <x15:cachedUniqueName index="23" name="[Range].[Day].&amp;[24]"/>
            <x15:cachedUniqueName index="24" name="[Range].[Day].&amp;[25]"/>
            <x15:cachedUniqueName index="25" name="[Range].[Day].&amp;[26]"/>
            <x15:cachedUniqueName index="26" name="[Range].[Day].&amp;[27]"/>
            <x15:cachedUniqueName index="27" name="[Range].[Day].&amp;[28]"/>
            <x15:cachedUniqueName index="28" name="[Range].[Day].&amp;[29]"/>
            <x15:cachedUniqueName index="29" name="[Range].[Day].&amp;[30]"/>
          </x15:cachedUniqueNames>
        </ext>
      </extLst>
    </cacheField>
    <cacheField name="[Table1].[Day].[Day]" caption="Day" numFmtId="0" hierarchy="9" level="1">
      <sharedItems containsSemiMixedTypes="0" containsNonDate="0" containsString="0"/>
    </cacheField>
  </cacheFields>
  <cacheHierarchies count="14">
    <cacheHierarchy uniqueName="[Range].[التاريخ]" caption="التاريخ" attribute="1" time="1" defaultMemberUniqueName="[Range].[التاريخ].[All]" allUniqueName="[Range].[التاريخ].[All]" dimensionUniqueName="[Range]" displayFolder="" count="2" memberValueDatatype="7" unbalanced="0"/>
    <cacheHierarchy uniqueName="[Range].[المنتج]" caption="المنتج" attribute="1" defaultMemberUniqueName="[Range].[المنتج].[All]" allUniqueName="[Range].[المنتج].[All]" dimensionUniqueName="[Range]" displayFolder="" count="2" memberValueDatatype="130" unbalanced="0"/>
    <cacheHierarchy uniqueName="[Range].[المنطقة]" caption="المنطقة" attribute="1" defaultMemberUniqueName="[Range].[المنطقة].[All]" allUniqueName="[Range].[المنطقة].[All]" dimensionUniqueName="[Range]" displayFolder="" count="2" memberValueDatatype="130" unbalanced="0"/>
    <cacheHierarchy uniqueName="[Range].[الإيرادات]" caption="الإيرادات" attribute="1" defaultMemberUniqueName="[Range].[الإيرادات].[All]" allUniqueName="[Range].[الإيرادات].[All]" dimensionUniqueName="[Range]" displayFolder="" count="2" memberValueDatatype="20" unbalanced="0"/>
    <cacheHierarchy uniqueName="[Range].[Day]" caption="Day" attribute="1" defaultMemberUniqueName="[Range].[Day].[All]" allUniqueName="[Range].[Day].[All]" dimensionUniqueName="[Range]" displayFolder="" count="2" memberValueDatatype="20" unbalanced="0">
      <fieldsUsage count="2">
        <fieldUsage x="-1"/>
        <fieldUsage x="1"/>
      </fieldsUsage>
    </cacheHierarchy>
    <cacheHierarchy uniqueName="[Table1].[التاريخ]" caption="التاريخ" attribute="1" time="1" defaultMemberUniqueName="[Table1].[التاريخ].[All]" allUniqueName="[Table1].[التاريخ].[All]" dimensionUniqueName="[Table1]" displayFolder="" count="2" memberValueDatatype="7" unbalanced="0"/>
    <cacheHierarchy uniqueName="[Table1].[المنتج]" caption="المنتج" attribute="1" defaultMemberUniqueName="[Table1].[المنتج].[All]" allUniqueName="[Table1].[المنتج].[All]" dimensionUniqueName="[Table1]" displayFolder="" count="2" memberValueDatatype="130" unbalanced="0"/>
    <cacheHierarchy uniqueName="[Table1].[المنطقة]" caption="المنطقة" attribute="1" defaultMemberUniqueName="[Table1].[المنطقة].[All]" allUniqueName="[Table1].[المنطقة].[All]" dimensionUniqueName="[Table1]" displayFolder="" count="2" memberValueDatatype="130" unbalanced="0"/>
    <cacheHierarchy uniqueName="[Table1].[الإيرادات]" caption="الإيرادات" attribute="1" defaultMemberUniqueName="[Table1].[الإيرادات].[All]" allUniqueName="[Table1].[الإيرادات].[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الإيرادات]" caption="Sum of الإيرادات"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14.732933796295" backgroundQuery="1" createdVersion="3" refreshedVersion="8" minRefreshableVersion="3" recordCount="0" supportSubquery="1" supportAdvancedDrill="1" xr:uid="{159052E3-8174-4C32-8ED2-766F15B187EE}">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Measures]" caption="Measures" attribute="1" keyAttribute="1" defaultMemberUniqueName="[Measures].[__No measures defined]" dimensionUniqueName="[Measures]" displayFolder="" measures="1" count="1" memberValueDatatype="130" unbalanced="0"/>
    <cacheHierarchy uniqueName="[Range].[التاريخ]" caption="التاريخ" attribute="1" time="1" defaultMemberUniqueName="[Range].[التاريخ].[All]" allUniqueName="[Range].[التاريخ].[All]" dimensionUniqueName="[Range]" displayFolder="" count="2" memberValueDatatype="7" unbalanced="0"/>
    <cacheHierarchy uniqueName="[Range].[المنتج]" caption="المنتج" attribute="1" defaultMemberUniqueName="[Range].[المنتج].[All]" allUniqueName="[Range].[المنتج].[All]" dimensionUniqueName="[Range]" displayFolder="" count="2" memberValueDatatype="130" unbalanced="0"/>
    <cacheHierarchy uniqueName="[Range].[المنطقة]" caption="المنطقة" attribute="1" defaultMemberUniqueName="[Range].[المنطقة].[All]" allUniqueName="[Range].[المنطقة].[All]" dimensionUniqueName="[Range]" displayFolder="" count="2" memberValueDatatype="130" unbalanced="0"/>
    <cacheHierarchy uniqueName="[Range].[الإيرادات]" caption="الإيرادات" attribute="1" defaultMemberUniqueName="[Range].[الإيرادات].[All]" allUniqueName="[Range].[الإيرادات].[All]" dimensionUniqueName="[Range]" displayFolder="" count="2" memberValueDatatype="20" unbalanced="0"/>
    <cacheHierarchy uniqueName="[Range].[Day]" caption="Day" attribute="1" defaultMemberUniqueName="[Range].[Day].[All]" allUniqueName="[Range].[Day].[All]" dimensionUniqueName="[Range]" displayFolder="" count="2" memberValueDatatype="20" unbalanced="0"/>
    <cacheHierarchy uniqueName="[Table1].[التاريخ]" caption="التاريخ" attribute="1" time="1" defaultMemberUniqueName="[Table1].[التاريخ].[All]" allUniqueName="[Table1].[التاريخ].[All]" dimensionUniqueName="[Table1]" displayFolder="" count="2" memberValueDatatype="7" unbalanced="0"/>
    <cacheHierarchy uniqueName="[Table1].[المنتج]" caption="المنتج" attribute="1" defaultMemberUniqueName="[Table1].[المنتج].[All]" allUniqueName="[Table1].[المنتج].[All]" dimensionUniqueName="[Table1]" displayFolder="" count="2" memberValueDatatype="130" unbalanced="0"/>
    <cacheHierarchy uniqueName="[Table1].[المنطقة]" caption="المنطقة" attribute="1" defaultMemberUniqueName="[Table1].[المنطقة].[All]" allUniqueName="[Table1].[المنطقة].[All]" dimensionUniqueName="[Table1]" displayFolder="" count="2" memberValueDatatype="130" unbalanced="0"/>
    <cacheHierarchy uniqueName="[Table1].[الإيرادات]" caption="الإيرادات" attribute="1" defaultMemberUniqueName="[Table1].[الإيرادات].[All]" allUniqueName="[Table1].[الإيرادات].[All]" dimensionUniqueName="[Table1]" displayFolder="" count="2" memberValueDatatype="20" unbalanced="0"/>
    <cacheHierarchy uniqueName="[Table1].[Day]" caption="Day" attribute="1" defaultMemberUniqueName="[Table1].[Day].[All]" allUniqueName="[Table1].[Day].[All]" dimensionUniqueName="[Table1]" displayFolder="" count="2"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الإيرادات]" caption="Sum of الإيرادات" measure="1" displayFolder="" measureGroup="Range"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3692012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n v="4039"/>
    <x v="0"/>
  </r>
  <r>
    <x v="0"/>
    <x v="1"/>
    <x v="1"/>
    <n v="3997"/>
    <x v="0"/>
  </r>
  <r>
    <x v="0"/>
    <x v="2"/>
    <x v="2"/>
    <n v="2645"/>
    <x v="0"/>
  </r>
  <r>
    <x v="0"/>
    <x v="3"/>
    <x v="1"/>
    <n v="4754"/>
    <x v="0"/>
  </r>
  <r>
    <x v="0"/>
    <x v="4"/>
    <x v="1"/>
    <n v="3568"/>
    <x v="0"/>
  </r>
  <r>
    <x v="1"/>
    <x v="0"/>
    <x v="0"/>
    <n v="1341"/>
    <x v="1"/>
  </r>
  <r>
    <x v="1"/>
    <x v="1"/>
    <x v="3"/>
    <n v="1802"/>
    <x v="1"/>
  </r>
  <r>
    <x v="1"/>
    <x v="2"/>
    <x v="4"/>
    <n v="1686"/>
    <x v="1"/>
  </r>
  <r>
    <x v="1"/>
    <x v="3"/>
    <x v="2"/>
    <n v="2606"/>
    <x v="1"/>
  </r>
  <r>
    <x v="1"/>
    <x v="4"/>
    <x v="1"/>
    <n v="3384"/>
    <x v="1"/>
  </r>
  <r>
    <x v="2"/>
    <x v="0"/>
    <x v="4"/>
    <n v="4824"/>
    <x v="2"/>
  </r>
  <r>
    <x v="2"/>
    <x v="1"/>
    <x v="4"/>
    <n v="3535"/>
    <x v="2"/>
  </r>
  <r>
    <x v="2"/>
    <x v="2"/>
    <x v="0"/>
    <n v="2400"/>
    <x v="2"/>
  </r>
  <r>
    <x v="2"/>
    <x v="3"/>
    <x v="4"/>
    <n v="3000"/>
    <x v="2"/>
  </r>
  <r>
    <x v="2"/>
    <x v="4"/>
    <x v="3"/>
    <n v="1832"/>
    <x v="2"/>
  </r>
  <r>
    <x v="3"/>
    <x v="0"/>
    <x v="0"/>
    <n v="2486"/>
    <x v="3"/>
  </r>
  <r>
    <x v="3"/>
    <x v="1"/>
    <x v="3"/>
    <n v="2257"/>
    <x v="3"/>
  </r>
  <r>
    <x v="3"/>
    <x v="2"/>
    <x v="4"/>
    <n v="1456"/>
    <x v="3"/>
  </r>
  <r>
    <x v="3"/>
    <x v="3"/>
    <x v="4"/>
    <n v="1848"/>
    <x v="3"/>
  </r>
  <r>
    <x v="3"/>
    <x v="4"/>
    <x v="1"/>
    <n v="1542"/>
    <x v="3"/>
  </r>
  <r>
    <x v="4"/>
    <x v="0"/>
    <x v="3"/>
    <n v="4631"/>
    <x v="4"/>
  </r>
  <r>
    <x v="4"/>
    <x v="1"/>
    <x v="3"/>
    <n v="2144"/>
    <x v="4"/>
  </r>
  <r>
    <x v="4"/>
    <x v="2"/>
    <x v="1"/>
    <n v="3021"/>
    <x v="4"/>
  </r>
  <r>
    <x v="4"/>
    <x v="3"/>
    <x v="4"/>
    <n v="4617"/>
    <x v="4"/>
  </r>
  <r>
    <x v="4"/>
    <x v="4"/>
    <x v="4"/>
    <n v="4127"/>
    <x v="4"/>
  </r>
  <r>
    <x v="5"/>
    <x v="0"/>
    <x v="2"/>
    <n v="4119"/>
    <x v="5"/>
  </r>
  <r>
    <x v="5"/>
    <x v="1"/>
    <x v="4"/>
    <n v="1291"/>
    <x v="5"/>
  </r>
  <r>
    <x v="5"/>
    <x v="2"/>
    <x v="0"/>
    <n v="3104"/>
    <x v="5"/>
  </r>
  <r>
    <x v="5"/>
    <x v="3"/>
    <x v="1"/>
    <n v="2747"/>
    <x v="5"/>
  </r>
  <r>
    <x v="5"/>
    <x v="4"/>
    <x v="2"/>
    <n v="3946"/>
    <x v="5"/>
  </r>
  <r>
    <x v="6"/>
    <x v="0"/>
    <x v="3"/>
    <n v="3528"/>
    <x v="6"/>
  </r>
  <r>
    <x v="6"/>
    <x v="1"/>
    <x v="1"/>
    <n v="3680"/>
    <x v="6"/>
  </r>
  <r>
    <x v="6"/>
    <x v="2"/>
    <x v="4"/>
    <n v="3938"/>
    <x v="6"/>
  </r>
  <r>
    <x v="6"/>
    <x v="3"/>
    <x v="1"/>
    <n v="4158"/>
    <x v="6"/>
  </r>
  <r>
    <x v="6"/>
    <x v="4"/>
    <x v="1"/>
    <n v="787"/>
    <x v="6"/>
  </r>
  <r>
    <x v="7"/>
    <x v="0"/>
    <x v="0"/>
    <n v="4483"/>
    <x v="7"/>
  </r>
  <r>
    <x v="7"/>
    <x v="1"/>
    <x v="1"/>
    <n v="2789"/>
    <x v="7"/>
  </r>
  <r>
    <x v="7"/>
    <x v="2"/>
    <x v="2"/>
    <n v="2417"/>
    <x v="7"/>
  </r>
  <r>
    <x v="7"/>
    <x v="3"/>
    <x v="3"/>
    <n v="4548"/>
    <x v="7"/>
  </r>
  <r>
    <x v="7"/>
    <x v="4"/>
    <x v="4"/>
    <n v="1683"/>
    <x v="7"/>
  </r>
  <r>
    <x v="8"/>
    <x v="0"/>
    <x v="0"/>
    <n v="2293"/>
    <x v="8"/>
  </r>
  <r>
    <x v="8"/>
    <x v="1"/>
    <x v="4"/>
    <n v="4736"/>
    <x v="8"/>
  </r>
  <r>
    <x v="8"/>
    <x v="2"/>
    <x v="2"/>
    <n v="893"/>
    <x v="8"/>
  </r>
  <r>
    <x v="8"/>
    <x v="3"/>
    <x v="3"/>
    <n v="3777"/>
    <x v="8"/>
  </r>
  <r>
    <x v="8"/>
    <x v="4"/>
    <x v="1"/>
    <n v="3211"/>
    <x v="8"/>
  </r>
  <r>
    <x v="9"/>
    <x v="0"/>
    <x v="0"/>
    <n v="3669"/>
    <x v="9"/>
  </r>
  <r>
    <x v="9"/>
    <x v="1"/>
    <x v="1"/>
    <n v="1616"/>
    <x v="9"/>
  </r>
  <r>
    <x v="9"/>
    <x v="2"/>
    <x v="0"/>
    <n v="3377"/>
    <x v="9"/>
  </r>
  <r>
    <x v="9"/>
    <x v="3"/>
    <x v="4"/>
    <n v="1320"/>
    <x v="9"/>
  </r>
  <r>
    <x v="9"/>
    <x v="4"/>
    <x v="3"/>
    <n v="1010"/>
    <x v="9"/>
  </r>
  <r>
    <x v="10"/>
    <x v="0"/>
    <x v="4"/>
    <n v="1985"/>
    <x v="10"/>
  </r>
  <r>
    <x v="10"/>
    <x v="1"/>
    <x v="1"/>
    <n v="2140"/>
    <x v="10"/>
  </r>
  <r>
    <x v="10"/>
    <x v="2"/>
    <x v="4"/>
    <n v="1007"/>
    <x v="10"/>
  </r>
  <r>
    <x v="10"/>
    <x v="3"/>
    <x v="0"/>
    <n v="3739"/>
    <x v="10"/>
  </r>
  <r>
    <x v="10"/>
    <x v="4"/>
    <x v="4"/>
    <n v="3351"/>
    <x v="10"/>
  </r>
  <r>
    <x v="11"/>
    <x v="0"/>
    <x v="3"/>
    <n v="4454"/>
    <x v="11"/>
  </r>
  <r>
    <x v="11"/>
    <x v="1"/>
    <x v="2"/>
    <n v="4916"/>
    <x v="11"/>
  </r>
  <r>
    <x v="11"/>
    <x v="2"/>
    <x v="1"/>
    <n v="3975"/>
    <x v="11"/>
  </r>
  <r>
    <x v="11"/>
    <x v="3"/>
    <x v="3"/>
    <n v="1950"/>
    <x v="11"/>
  </r>
  <r>
    <x v="11"/>
    <x v="4"/>
    <x v="3"/>
    <n v="2787"/>
    <x v="11"/>
  </r>
  <r>
    <x v="12"/>
    <x v="0"/>
    <x v="3"/>
    <n v="1709"/>
    <x v="12"/>
  </r>
  <r>
    <x v="12"/>
    <x v="1"/>
    <x v="3"/>
    <n v="4285"/>
    <x v="12"/>
  </r>
  <r>
    <x v="12"/>
    <x v="2"/>
    <x v="0"/>
    <n v="1717"/>
    <x v="12"/>
  </r>
  <r>
    <x v="12"/>
    <x v="3"/>
    <x v="1"/>
    <n v="4687"/>
    <x v="12"/>
  </r>
  <r>
    <x v="12"/>
    <x v="4"/>
    <x v="4"/>
    <n v="1094"/>
    <x v="12"/>
  </r>
  <r>
    <x v="13"/>
    <x v="0"/>
    <x v="0"/>
    <n v="3554"/>
    <x v="13"/>
  </r>
  <r>
    <x v="13"/>
    <x v="1"/>
    <x v="1"/>
    <n v="3586"/>
    <x v="13"/>
  </r>
  <r>
    <x v="13"/>
    <x v="2"/>
    <x v="3"/>
    <n v="3566"/>
    <x v="13"/>
  </r>
  <r>
    <x v="13"/>
    <x v="3"/>
    <x v="4"/>
    <n v="1083"/>
    <x v="13"/>
  </r>
  <r>
    <x v="13"/>
    <x v="4"/>
    <x v="4"/>
    <n v="1488"/>
    <x v="13"/>
  </r>
  <r>
    <x v="14"/>
    <x v="0"/>
    <x v="1"/>
    <n v="1854"/>
    <x v="14"/>
  </r>
  <r>
    <x v="14"/>
    <x v="1"/>
    <x v="2"/>
    <n v="3101"/>
    <x v="14"/>
  </r>
  <r>
    <x v="14"/>
    <x v="2"/>
    <x v="0"/>
    <n v="3268"/>
    <x v="14"/>
  </r>
  <r>
    <x v="14"/>
    <x v="3"/>
    <x v="3"/>
    <n v="2814"/>
    <x v="14"/>
  </r>
  <r>
    <x v="14"/>
    <x v="4"/>
    <x v="2"/>
    <n v="2465"/>
    <x v="14"/>
  </r>
  <r>
    <x v="15"/>
    <x v="0"/>
    <x v="3"/>
    <n v="2013"/>
    <x v="15"/>
  </r>
  <r>
    <x v="15"/>
    <x v="1"/>
    <x v="2"/>
    <n v="2626"/>
    <x v="15"/>
  </r>
  <r>
    <x v="15"/>
    <x v="2"/>
    <x v="3"/>
    <n v="1105"/>
    <x v="15"/>
  </r>
  <r>
    <x v="15"/>
    <x v="3"/>
    <x v="1"/>
    <n v="3873"/>
    <x v="15"/>
  </r>
  <r>
    <x v="15"/>
    <x v="4"/>
    <x v="2"/>
    <n v="1450"/>
    <x v="15"/>
  </r>
  <r>
    <x v="16"/>
    <x v="0"/>
    <x v="4"/>
    <n v="2883"/>
    <x v="16"/>
  </r>
  <r>
    <x v="16"/>
    <x v="1"/>
    <x v="3"/>
    <n v="978"/>
    <x v="16"/>
  </r>
  <r>
    <x v="16"/>
    <x v="2"/>
    <x v="0"/>
    <n v="4032"/>
    <x v="16"/>
  </r>
  <r>
    <x v="16"/>
    <x v="3"/>
    <x v="0"/>
    <n v="1249"/>
    <x v="16"/>
  </r>
  <r>
    <x v="16"/>
    <x v="4"/>
    <x v="2"/>
    <n v="4501"/>
    <x v="16"/>
  </r>
  <r>
    <x v="17"/>
    <x v="0"/>
    <x v="2"/>
    <n v="2301"/>
    <x v="17"/>
  </r>
  <r>
    <x v="17"/>
    <x v="1"/>
    <x v="3"/>
    <n v="4892"/>
    <x v="17"/>
  </r>
  <r>
    <x v="17"/>
    <x v="2"/>
    <x v="2"/>
    <n v="597"/>
    <x v="17"/>
  </r>
  <r>
    <x v="17"/>
    <x v="3"/>
    <x v="2"/>
    <n v="3700"/>
    <x v="17"/>
  </r>
  <r>
    <x v="17"/>
    <x v="4"/>
    <x v="0"/>
    <n v="2695"/>
    <x v="17"/>
  </r>
  <r>
    <x v="18"/>
    <x v="0"/>
    <x v="3"/>
    <n v="1232"/>
    <x v="18"/>
  </r>
  <r>
    <x v="18"/>
    <x v="1"/>
    <x v="2"/>
    <n v="2310"/>
    <x v="18"/>
  </r>
  <r>
    <x v="18"/>
    <x v="2"/>
    <x v="2"/>
    <n v="902"/>
    <x v="18"/>
  </r>
  <r>
    <x v="18"/>
    <x v="3"/>
    <x v="2"/>
    <n v="3102"/>
    <x v="18"/>
  </r>
  <r>
    <x v="18"/>
    <x v="4"/>
    <x v="0"/>
    <n v="689"/>
    <x v="18"/>
  </r>
  <r>
    <x v="19"/>
    <x v="0"/>
    <x v="3"/>
    <n v="1082"/>
    <x v="19"/>
  </r>
  <r>
    <x v="19"/>
    <x v="1"/>
    <x v="2"/>
    <n v="4450"/>
    <x v="19"/>
  </r>
  <r>
    <x v="19"/>
    <x v="2"/>
    <x v="4"/>
    <n v="1274"/>
    <x v="19"/>
  </r>
  <r>
    <x v="19"/>
    <x v="3"/>
    <x v="2"/>
    <n v="1029"/>
    <x v="19"/>
  </r>
  <r>
    <x v="19"/>
    <x v="4"/>
    <x v="0"/>
    <n v="4824"/>
    <x v="19"/>
  </r>
  <r>
    <x v="20"/>
    <x v="0"/>
    <x v="2"/>
    <n v="3897"/>
    <x v="20"/>
  </r>
  <r>
    <x v="20"/>
    <x v="1"/>
    <x v="3"/>
    <n v="1805"/>
    <x v="20"/>
  </r>
  <r>
    <x v="20"/>
    <x v="2"/>
    <x v="0"/>
    <n v="1864"/>
    <x v="20"/>
  </r>
  <r>
    <x v="20"/>
    <x v="3"/>
    <x v="1"/>
    <n v="2378"/>
    <x v="20"/>
  </r>
  <r>
    <x v="20"/>
    <x v="4"/>
    <x v="1"/>
    <n v="842"/>
    <x v="20"/>
  </r>
  <r>
    <x v="21"/>
    <x v="0"/>
    <x v="2"/>
    <n v="4774"/>
    <x v="21"/>
  </r>
  <r>
    <x v="21"/>
    <x v="1"/>
    <x v="0"/>
    <n v="3821"/>
    <x v="21"/>
  </r>
  <r>
    <x v="21"/>
    <x v="2"/>
    <x v="0"/>
    <n v="4460"/>
    <x v="21"/>
  </r>
  <r>
    <x v="21"/>
    <x v="3"/>
    <x v="1"/>
    <n v="3349"/>
    <x v="21"/>
  </r>
  <r>
    <x v="21"/>
    <x v="4"/>
    <x v="3"/>
    <n v="1287"/>
    <x v="21"/>
  </r>
  <r>
    <x v="22"/>
    <x v="0"/>
    <x v="1"/>
    <n v="2271"/>
    <x v="22"/>
  </r>
  <r>
    <x v="22"/>
    <x v="1"/>
    <x v="2"/>
    <n v="1991"/>
    <x v="22"/>
  </r>
  <r>
    <x v="22"/>
    <x v="2"/>
    <x v="0"/>
    <n v="2054"/>
    <x v="22"/>
  </r>
  <r>
    <x v="22"/>
    <x v="3"/>
    <x v="2"/>
    <n v="3787"/>
    <x v="22"/>
  </r>
  <r>
    <x v="22"/>
    <x v="4"/>
    <x v="1"/>
    <n v="1856"/>
    <x v="22"/>
  </r>
  <r>
    <x v="23"/>
    <x v="0"/>
    <x v="0"/>
    <n v="529"/>
    <x v="23"/>
  </r>
  <r>
    <x v="23"/>
    <x v="1"/>
    <x v="3"/>
    <n v="3081"/>
    <x v="23"/>
  </r>
  <r>
    <x v="23"/>
    <x v="2"/>
    <x v="1"/>
    <n v="4634"/>
    <x v="23"/>
  </r>
  <r>
    <x v="23"/>
    <x v="3"/>
    <x v="3"/>
    <n v="3327"/>
    <x v="23"/>
  </r>
  <r>
    <x v="23"/>
    <x v="4"/>
    <x v="4"/>
    <n v="2683"/>
    <x v="23"/>
  </r>
  <r>
    <x v="24"/>
    <x v="0"/>
    <x v="4"/>
    <n v="3933"/>
    <x v="24"/>
  </r>
  <r>
    <x v="24"/>
    <x v="1"/>
    <x v="4"/>
    <n v="3691"/>
    <x v="24"/>
  </r>
  <r>
    <x v="24"/>
    <x v="2"/>
    <x v="2"/>
    <n v="2067"/>
    <x v="24"/>
  </r>
  <r>
    <x v="24"/>
    <x v="3"/>
    <x v="4"/>
    <n v="1399"/>
    <x v="24"/>
  </r>
  <r>
    <x v="24"/>
    <x v="4"/>
    <x v="1"/>
    <n v="1945"/>
    <x v="24"/>
  </r>
  <r>
    <x v="25"/>
    <x v="0"/>
    <x v="3"/>
    <n v="2239"/>
    <x v="25"/>
  </r>
  <r>
    <x v="25"/>
    <x v="1"/>
    <x v="4"/>
    <n v="2759"/>
    <x v="25"/>
  </r>
  <r>
    <x v="25"/>
    <x v="2"/>
    <x v="4"/>
    <n v="2574"/>
    <x v="25"/>
  </r>
  <r>
    <x v="25"/>
    <x v="3"/>
    <x v="2"/>
    <n v="2270"/>
    <x v="25"/>
  </r>
  <r>
    <x v="25"/>
    <x v="4"/>
    <x v="0"/>
    <n v="3590"/>
    <x v="25"/>
  </r>
  <r>
    <x v="26"/>
    <x v="0"/>
    <x v="1"/>
    <n v="2960"/>
    <x v="26"/>
  </r>
  <r>
    <x v="26"/>
    <x v="1"/>
    <x v="0"/>
    <n v="2044"/>
    <x v="26"/>
  </r>
  <r>
    <x v="26"/>
    <x v="2"/>
    <x v="3"/>
    <n v="654"/>
    <x v="26"/>
  </r>
  <r>
    <x v="26"/>
    <x v="3"/>
    <x v="2"/>
    <n v="3254"/>
    <x v="26"/>
  </r>
  <r>
    <x v="26"/>
    <x v="4"/>
    <x v="4"/>
    <n v="3219"/>
    <x v="26"/>
  </r>
  <r>
    <x v="27"/>
    <x v="0"/>
    <x v="1"/>
    <n v="1292"/>
    <x v="27"/>
  </r>
  <r>
    <x v="27"/>
    <x v="1"/>
    <x v="0"/>
    <n v="1850"/>
    <x v="27"/>
  </r>
  <r>
    <x v="27"/>
    <x v="2"/>
    <x v="3"/>
    <n v="901"/>
    <x v="27"/>
  </r>
  <r>
    <x v="27"/>
    <x v="3"/>
    <x v="1"/>
    <n v="2384"/>
    <x v="27"/>
  </r>
  <r>
    <x v="27"/>
    <x v="4"/>
    <x v="1"/>
    <n v="3926"/>
    <x v="27"/>
  </r>
  <r>
    <x v="28"/>
    <x v="0"/>
    <x v="1"/>
    <n v="2042"/>
    <x v="28"/>
  </r>
  <r>
    <x v="28"/>
    <x v="1"/>
    <x v="1"/>
    <n v="4444"/>
    <x v="28"/>
  </r>
  <r>
    <x v="28"/>
    <x v="2"/>
    <x v="1"/>
    <n v="2832"/>
    <x v="28"/>
  </r>
  <r>
    <x v="28"/>
    <x v="3"/>
    <x v="3"/>
    <n v="2023"/>
    <x v="28"/>
  </r>
  <r>
    <x v="28"/>
    <x v="4"/>
    <x v="3"/>
    <n v="1233"/>
    <x v="28"/>
  </r>
  <r>
    <x v="29"/>
    <x v="0"/>
    <x v="0"/>
    <n v="1253"/>
    <x v="29"/>
  </r>
  <r>
    <x v="29"/>
    <x v="1"/>
    <x v="3"/>
    <n v="849"/>
    <x v="29"/>
  </r>
  <r>
    <x v="29"/>
    <x v="2"/>
    <x v="4"/>
    <n v="3624"/>
    <x v="29"/>
  </r>
  <r>
    <x v="29"/>
    <x v="3"/>
    <x v="2"/>
    <n v="3215"/>
    <x v="29"/>
  </r>
  <r>
    <x v="29"/>
    <x v="4"/>
    <x v="2"/>
    <n v="4691"/>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EDF487-FF9C-4C1B-8FB3-28226BD2492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14:L18" firstHeaderRow="1" firstDataRow="1" firstDataCol="1"/>
  <pivotFields count="5">
    <pivotField numFmtId="164" showAll="0"/>
    <pivotField axis="axisRow" showAll="0" measureFilter="1" sortType="ascending">
      <items count="6">
        <item x="0"/>
        <item x="1"/>
        <item x="2"/>
        <item x="3"/>
        <item x="4"/>
        <item t="default"/>
      </items>
    </pivotField>
    <pivotField showAll="0"/>
    <pivotField dataField="1" showAll="0"/>
    <pivotField showAll="0"/>
  </pivotFields>
  <rowFields count="1">
    <field x="1"/>
  </rowFields>
  <rowItems count="4">
    <i>
      <x/>
    </i>
    <i>
      <x v="1"/>
    </i>
    <i>
      <x v="3"/>
    </i>
    <i t="grand">
      <x/>
    </i>
  </rowItems>
  <colItems count="1">
    <i/>
  </colItems>
  <dataFields count="1">
    <dataField name="Sum of الإيرادات" fld="3"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CD35BE-62C1-4D92-B92C-7F148BC099A7}"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K32:L38" firstHeaderRow="1" firstDataRow="1" firstDataCol="1"/>
  <pivotFields count="5">
    <pivotField numFmtId="164" showAll="0"/>
    <pivotField axis="axisRow" showAll="0" measureFilter="1" sortType="ascending">
      <items count="6">
        <item x="0"/>
        <item x="1"/>
        <item x="2"/>
        <item x="3"/>
        <item x="4"/>
        <item t="default"/>
      </items>
    </pivotField>
    <pivotField showAll="0">
      <items count="6">
        <item x="2"/>
        <item x="4"/>
        <item x="0"/>
        <item x="1"/>
        <item x="3"/>
        <item t="default"/>
      </items>
    </pivotField>
    <pivotField dataField="1" showAll="0"/>
    <pivotField showAll="0"/>
  </pivotFields>
  <rowFields count="1">
    <field x="1"/>
  </rowFields>
  <rowItems count="6">
    <i>
      <x/>
    </i>
    <i>
      <x v="1"/>
    </i>
    <i>
      <x v="2"/>
    </i>
    <i>
      <x v="3"/>
    </i>
    <i>
      <x v="4"/>
    </i>
    <i t="grand">
      <x/>
    </i>
  </rowItems>
  <colItems count="1">
    <i/>
  </colItems>
  <dataFields count="1">
    <dataField name="Sum of الإيرادات" fld="3" showDataAs="percent" baseField="1" baseItem="0" numFmtId="9"/>
  </dataFields>
  <formats count="3">
    <format dxfId="7">
      <pivotArea dataOnly="0" labelOnly="1" fieldPosition="0">
        <references count="1">
          <reference field="1" count="1">
            <x v="0"/>
          </reference>
        </references>
      </pivotArea>
    </format>
    <format dxfId="6">
      <pivotArea outline="0" fieldPosition="0">
        <references count="1">
          <reference field="4294967294" count="1">
            <x v="0"/>
          </reference>
        </references>
      </pivotArea>
    </format>
    <format dxfId="5">
      <pivotArea collapsedLevelsAreSubtotals="1" fieldPosition="0">
        <references count="1">
          <reference field="1" count="1">
            <x v="0"/>
          </reference>
        </references>
      </pivotArea>
    </format>
  </formats>
  <chartFormats count="8">
    <chartFormat chart="6"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 count="1" selected="0">
            <x v="0"/>
          </reference>
        </references>
      </pivotArea>
    </chartFormat>
    <chartFormat chart="18" format="9">
      <pivotArea type="data" outline="0" fieldPosition="0">
        <references count="2">
          <reference field="4294967294" count="1" selected="0">
            <x v="0"/>
          </reference>
          <reference field="1" count="1" selected="0">
            <x v="1"/>
          </reference>
        </references>
      </pivotArea>
    </chartFormat>
    <chartFormat chart="18" format="10">
      <pivotArea type="data" outline="0" fieldPosition="0">
        <references count="2">
          <reference field="4294967294" count="1" selected="0">
            <x v="0"/>
          </reference>
          <reference field="1" count="1" selected="0">
            <x v="2"/>
          </reference>
        </references>
      </pivotArea>
    </chartFormat>
    <chartFormat chart="18" format="11">
      <pivotArea type="data" outline="0" fieldPosition="0">
        <references count="2">
          <reference field="4294967294" count="1" selected="0">
            <x v="0"/>
          </reference>
          <reference field="1" count="1" selected="0">
            <x v="3"/>
          </reference>
        </references>
      </pivotArea>
    </chartFormat>
    <chartFormat chart="1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6DB8F-05A3-4A4B-88CD-8191A3154DC7}"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4:L10" firstHeaderRow="1" firstDataRow="1" firstDataCol="1"/>
  <pivotFields count="5">
    <pivotField numFmtId="164" showAll="0"/>
    <pivotField showAll="0" measureFilter="1" sortType="descending">
      <autoSortScope>
        <pivotArea dataOnly="0" outline="0" fieldPosition="0">
          <references count="1">
            <reference field="4294967294" count="1" selected="0">
              <x v="0"/>
            </reference>
          </references>
        </pivotArea>
      </autoSortScope>
    </pivotField>
    <pivotField axis="axisRow" showAll="0">
      <items count="6">
        <item x="2"/>
        <item x="4"/>
        <item x="0"/>
        <item x="1"/>
        <item x="3"/>
        <item t="default"/>
      </items>
    </pivotField>
    <pivotField dataField="1" showAll="0"/>
    <pivotField showAll="0"/>
  </pivotFields>
  <rowFields count="1">
    <field x="2"/>
  </rowFields>
  <rowItems count="6">
    <i>
      <x/>
    </i>
    <i>
      <x v="1"/>
    </i>
    <i>
      <x v="2"/>
    </i>
    <i>
      <x v="3"/>
    </i>
    <i>
      <x v="4"/>
    </i>
    <i t="grand">
      <x/>
    </i>
  </rowItems>
  <colItems count="1">
    <i/>
  </colItems>
  <dataFields count="1">
    <dataField name="Sum of الإيرادات" fld="3"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902870-E918-4785-A7DA-1FB6EAB1FD09}"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9:H50"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الإيرادات" fld="0" baseField="0" baseItem="0"/>
  </dataFields>
  <chartFormats count="1">
    <chartFormat chart="6" format="10"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E">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B8402D-4015-41F1-8DEE-A261E5FC6988}"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5:P36" firstHeaderRow="1" firstDataRow="1" firstDataCol="1"/>
  <pivotFields count="5">
    <pivotField axis="axisRow"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الإيرادات"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D3EDA-F738-4DE1-9FBA-28C4E1E8C6EA}"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5:I11" firstHeaderRow="1" firstDataRow="1" firstDataCol="1"/>
  <pivotFields count="5">
    <pivotField numFmtId="164" showAll="0"/>
    <pivotField showAll="0" measureFilter="1"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Row" showAll="0">
      <items count="6">
        <item x="2"/>
        <item x="4"/>
        <item x="0"/>
        <item x="1"/>
        <item x="3"/>
        <item t="default"/>
      </items>
    </pivotField>
    <pivotField dataField="1"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2"/>
  </rowFields>
  <rowItems count="6">
    <i>
      <x/>
    </i>
    <i>
      <x v="1"/>
    </i>
    <i>
      <x v="2"/>
    </i>
    <i>
      <x v="3"/>
    </i>
    <i>
      <x v="4"/>
    </i>
    <i t="grand">
      <x/>
    </i>
  </rowItems>
  <colItems count="1">
    <i/>
  </colItems>
  <dataFields count="1">
    <dataField name="Sum of الإيرادات" fld="3"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B67088-A181-4EB3-94DA-0ABCC919F61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K24" firstHeaderRow="1" firstDataRow="1" firstDataCol="0"/>
  <pivotFields count="5">
    <pivotField numFmtId="164" showAll="0"/>
    <pivotField showAll="0"/>
    <pivotField showAll="0"/>
    <pivotField dataField="1" showAll="0"/>
    <pivotField showAll="0"/>
  </pivotFields>
  <rowItems count="1">
    <i/>
  </rowItems>
  <colItems count="1">
    <i/>
  </colItems>
  <dataFields count="1">
    <dataField name="Sum of الإيرادات" fld="3"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8EF49D-8C16-406C-BB81-A1F8111B9A38}"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U26:V37" firstHeaderRow="1" firstDataRow="1" firstDataCol="1"/>
  <pivotFields count="5">
    <pivotField numFmtId="164" showAll="0"/>
    <pivotField axis="axisRow" showAll="0" measureFilter="1">
      <items count="6">
        <item x="0"/>
        <item x="1"/>
        <item x="2"/>
        <item x="3"/>
        <item x="4"/>
        <item t="default"/>
      </items>
    </pivotField>
    <pivotField axis="axisRow" showAll="0">
      <items count="6">
        <item x="2"/>
        <item x="4"/>
        <item x="0"/>
        <item x="1"/>
        <item x="3"/>
        <item t="default"/>
      </items>
    </pivotField>
    <pivotField dataField="1" showAll="0"/>
    <pivotField showAll="0"/>
  </pivotFields>
  <rowFields count="2">
    <field x="2"/>
    <field x="1"/>
  </rowFields>
  <rowItems count="11">
    <i>
      <x/>
    </i>
    <i r="1">
      <x v="3"/>
    </i>
    <i>
      <x v="1"/>
    </i>
    <i r="1">
      <x v="4"/>
    </i>
    <i>
      <x v="2"/>
    </i>
    <i r="1">
      <x v="2"/>
    </i>
    <i>
      <x v="3"/>
    </i>
    <i r="1">
      <x v="3"/>
    </i>
    <i>
      <x v="4"/>
    </i>
    <i r="1">
      <x v="1"/>
    </i>
    <i t="grand">
      <x/>
    </i>
  </rowItems>
  <colItems count="1">
    <i/>
  </colItems>
  <dataFields count="1">
    <dataField name="Sum of الإيرادات" fld="3"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4F30DF-A321-4C29-B2F2-843C1D04285F}"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S12:Y19" firstHeaderRow="1" firstDataRow="2" firstDataCol="1"/>
  <pivotFields count="5">
    <pivotField numFmtId="164" showAll="0"/>
    <pivotField axis="axisCol" showAll="0">
      <items count="6">
        <item x="0"/>
        <item x="1"/>
        <item x="2"/>
        <item x="3"/>
        <item x="4"/>
        <item t="default"/>
      </items>
    </pivotField>
    <pivotField axis="axisRow" showAll="0">
      <items count="6">
        <item x="2"/>
        <item x="4"/>
        <item x="0"/>
        <item x="1"/>
        <item x="3"/>
        <item t="default"/>
      </items>
    </pivotField>
    <pivotField dataField="1" showAll="0"/>
    <pivotField showAll="0"/>
  </pivotFields>
  <rowFields count="1">
    <field x="2"/>
  </rowFields>
  <rowItems count="6">
    <i>
      <x/>
    </i>
    <i>
      <x v="1"/>
    </i>
    <i>
      <x v="2"/>
    </i>
    <i>
      <x v="3"/>
    </i>
    <i>
      <x v="4"/>
    </i>
    <i t="grand">
      <x/>
    </i>
  </rowItems>
  <colFields count="1">
    <field x="1"/>
  </colFields>
  <colItems count="6">
    <i>
      <x/>
    </i>
    <i>
      <x v="1"/>
    </i>
    <i>
      <x v="2"/>
    </i>
    <i>
      <x v="3"/>
    </i>
    <i>
      <x v="4"/>
    </i>
    <i t="grand">
      <x/>
    </i>
  </colItems>
  <dataFields count="1">
    <dataField name="Sum of الإيرادات" fld="3" baseField="0" baseItem="0"/>
  </dataFields>
  <chartFormats count="5">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2">
          <reference field="4294967294" count="1" selected="0">
            <x v="0"/>
          </reference>
          <reference field="1" count="1" selected="0">
            <x v="2"/>
          </reference>
        </references>
      </pivotArea>
    </chartFormat>
    <chartFormat chart="11" format="7"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طقة" xr10:uid="{BF2940E5-01C3-46DF-8B70-E20730A92F24}" sourceName="[Table1].[المنطقة]">
  <data>
    <olap pivotCacheId="369201298">
      <levels count="2">
        <level uniqueName="[Table1].[المنطقة].[(All)]" sourceCaption="(All)" count="0"/>
        <level uniqueName="[Table1].[المنطقة].[المنطقة]" sourceCaption="المنطقة" count="5">
          <ranges>
            <range startItem="0">
              <i n="[Table1].[المنطقة].&amp;[الخبر]" c="الخبر"/>
              <i n="[Table1].[المنطقة].&amp;[الدمام]" c="الدمام"/>
              <i n="[Table1].[المنطقة].&amp;[الرياض]" c="الرياض"/>
              <i n="[Table1].[المنطقة].&amp;[جدة]" c="جدة"/>
              <i n="[Table1].[المنطقة].&amp;[مكة]" c="مكة"/>
            </range>
          </ranges>
        </level>
      </levels>
      <selections count="1">
        <selection n="[Table1].[المنطقة].[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951A1322-1904-418C-A35A-7BCF3EDDEA3B}" sourceName="[Table1].[Day]">
  <pivotTables>
    <pivotTable tabId="1" name="PivotTable11"/>
  </pivotTables>
  <data>
    <olap pivotCacheId="369201298">
      <levels count="2">
        <level uniqueName="[Table1].[Day].[(All)]" sourceCaption="(All)" count="0"/>
        <level uniqueName="[Table1].[Day].[Day]" sourceCaption="Day" count="30">
          <ranges>
            <range startItem="0">
              <i n="[Table1].[Day].&amp;[1]" c="1"/>
              <i n="[Table1].[Day].&amp;[2]" c="2"/>
              <i n="[Table1].[Day].&amp;[3]" c="3"/>
              <i n="[Table1].[Day].&amp;[4]" c="4"/>
              <i n="[Table1].[Day].&amp;[5]" c="5"/>
              <i n="[Table1].[Day].&amp;[6]" c="6"/>
              <i n="[Table1].[Day].&amp;[7]" c="7"/>
              <i n="[Table1].[Day].&amp;[8]" c="8"/>
              <i n="[Table1].[Day].&amp;[9]" c="9"/>
              <i n="[Table1].[Day].&amp;[10]" c="10"/>
              <i n="[Table1].[Day].&amp;[11]" c="11"/>
              <i n="[Table1].[Day].&amp;[12]" c="12"/>
              <i n="[Table1].[Day].&amp;[13]" c="13"/>
              <i n="[Table1].[Day].&amp;[14]" c="14"/>
              <i n="[Table1].[Day].&amp;[15]" c="15"/>
              <i n="[Table1].[Day].&amp;[16]" c="16"/>
              <i n="[Table1].[Day].&amp;[17]" c="17"/>
              <i n="[Table1].[Day].&amp;[18]" c="18"/>
              <i n="[Table1].[Day].&amp;[19]" c="19"/>
              <i n="[Table1].[Day].&amp;[20]" c="20"/>
              <i n="[Table1].[Day].&amp;[21]" c="21"/>
              <i n="[Table1].[Day].&amp;[22]" c="22"/>
              <i n="[Table1].[Day].&amp;[23]" c="23"/>
              <i n="[Table1].[Day].&amp;[24]" c="24"/>
              <i n="[Table1].[Day].&amp;[25]" c="25"/>
              <i n="[Table1].[Day].&amp;[26]" c="26"/>
              <i n="[Table1].[Day].&amp;[27]" c="27"/>
              <i n="[Table1].[Day].&amp;[28]" c="28"/>
              <i n="[Table1].[Day].&amp;[29]" c="29"/>
              <i n="[Table1].[Day].&amp;[30]" c="30"/>
            </range>
          </ranges>
        </level>
      </levels>
      <selections count="1">
        <selection n="[Table1].[Da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C808EB05-58F2-4558-AF73-F69CEBA56DCA}" sourceName="[Table1].[المنتج]">
  <pivotTables>
    <pivotTable tabId="1" name="PivotTable11"/>
  </pivotTables>
  <data>
    <olap pivotCacheId="369201298">
      <levels count="2">
        <level uniqueName="[Table1].[المنتج].[(All)]" sourceCaption="(All)" count="0"/>
        <level uniqueName="[Table1].[المنتج].[المنتج]" sourceCaption="المنتج" count="5">
          <ranges>
            <range startItem="0">
              <i n="[Table1].[المنتج].&amp;[منتج A]" c="منتج A"/>
              <i n="[Table1].[المنتج].&amp;[منتج B]" c="منتج B"/>
              <i n="[Table1].[المنتج].&amp;[منتج C]" c="منتج C"/>
              <i n="[Table1].[المنتج].&amp;[منتج D]" c="منتج D"/>
              <i n="[Table1].[المنتج].&amp;[منتج E]" c="منتج E"/>
            </range>
          </ranges>
        </level>
      </levels>
      <selections count="1">
        <selection n="[Table1].[المنتج].[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طقة" xr10:uid="{FDF7711D-93EA-425E-B190-C6339D0603E5}" cache="Slicer_المنطقة" caption="المنطقة" level="1" style="SlicerStyleDark2" rowHeight="234950"/>
  <slicer name="Day" xr10:uid="{A6A319B7-1E03-4A5B-90DC-12B643B3B6D9}" cache="Slicer_Day" caption="Day" startItem="7" level="1" style="SlicerStyleDark2" rowHeight="234950"/>
  <slicer name="المنتج" xr10:uid="{1FFE8CFC-B15A-4E2A-970F-B67A88F9356C}" cache="Slicer_المنتج" caption="المنتج" level="1"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8FCF7-EE81-4EC2-AA00-2D2B3CC4E25F}" name="Table1" displayName="Table1" ref="A1:E151" totalsRowShown="0" headerRowDxfId="4" headerRowBorderDxfId="3" tableBorderDxfId="2">
  <autoFilter ref="A1:E151" xr:uid="{9F48FCF7-EE81-4EC2-AA00-2D2B3CC4E25F}"/>
  <tableColumns count="5">
    <tableColumn id="1" xr3:uid="{FA8BB03E-2ECA-45C6-A97A-9D7671BAC31F}" name="التاريخ" dataDxfId="1"/>
    <tableColumn id="2" xr3:uid="{F94A338C-849F-43A8-BDEB-A2C266FC2513}" name="المنتج"/>
    <tableColumn id="3" xr3:uid="{8335FC52-99E8-4EED-A616-801A2459C6F2}" name="المنطقة"/>
    <tableColumn id="4" xr3:uid="{B5F9857B-0762-4DDC-8358-6BDEBDBE7331}" name="الإيرادات"/>
    <tableColumn id="5" xr3:uid="{94E0EBB5-A9FA-4996-9676-9ED3163C7FED}" name="Day" dataDxfId="0">
      <calculatedColumnFormula>DAY(A2)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1"/>
  <sheetViews>
    <sheetView topLeftCell="F7" zoomScale="85" zoomScaleNormal="85" workbookViewId="0">
      <selection activeCell="H19" sqref="H19"/>
    </sheetView>
  </sheetViews>
  <sheetFormatPr defaultRowHeight="14.4" x14ac:dyDescent="0.3"/>
  <cols>
    <col min="1" max="1" width="18.44140625" customWidth="1"/>
    <col min="2" max="2" width="15.6640625" customWidth="1"/>
    <col min="3" max="3" width="16.44140625" customWidth="1"/>
    <col min="4" max="4" width="13.44140625" customWidth="1"/>
    <col min="7" max="7" width="13.44140625" bestFit="1" customWidth="1"/>
    <col min="8" max="8" width="14.109375" bestFit="1" customWidth="1"/>
    <col min="9" max="25" width="14.77734375" customWidth="1"/>
  </cols>
  <sheetData>
    <row r="1" spans="1:25" x14ac:dyDescent="0.3">
      <c r="A1" s="2" t="s">
        <v>0</v>
      </c>
      <c r="B1" s="2" t="s">
        <v>1</v>
      </c>
      <c r="C1" s="2" t="s">
        <v>2</v>
      </c>
      <c r="D1" s="2" t="s">
        <v>3</v>
      </c>
      <c r="E1" s="2" t="s">
        <v>19</v>
      </c>
    </row>
    <row r="2" spans="1:25" x14ac:dyDescent="0.3">
      <c r="A2" s="1">
        <v>45658</v>
      </c>
      <c r="B2" t="s">
        <v>4</v>
      </c>
      <c r="C2" t="s">
        <v>9</v>
      </c>
      <c r="D2">
        <v>4039</v>
      </c>
      <c r="E2">
        <f t="shared" ref="E2:E33" si="0">DAY(A2)</f>
        <v>1</v>
      </c>
    </row>
    <row r="3" spans="1:25" x14ac:dyDescent="0.3">
      <c r="A3" s="1">
        <v>45658</v>
      </c>
      <c r="B3" t="s">
        <v>5</v>
      </c>
      <c r="C3" t="s">
        <v>10</v>
      </c>
      <c r="D3">
        <v>3997</v>
      </c>
      <c r="E3">
        <f t="shared" si="0"/>
        <v>1</v>
      </c>
    </row>
    <row r="4" spans="1:25" x14ac:dyDescent="0.3">
      <c r="A4" s="1">
        <v>45658</v>
      </c>
      <c r="B4" t="s">
        <v>6</v>
      </c>
      <c r="C4" t="s">
        <v>11</v>
      </c>
      <c r="D4">
        <v>2645</v>
      </c>
      <c r="E4">
        <f t="shared" si="0"/>
        <v>1</v>
      </c>
      <c r="K4" s="3" t="s">
        <v>14</v>
      </c>
      <c r="L4" t="s">
        <v>16</v>
      </c>
    </row>
    <row r="5" spans="1:25" x14ac:dyDescent="0.3">
      <c r="A5" s="1">
        <v>45658</v>
      </c>
      <c r="B5" t="s">
        <v>7</v>
      </c>
      <c r="C5" t="s">
        <v>10</v>
      </c>
      <c r="D5">
        <v>4754</v>
      </c>
      <c r="E5">
        <f t="shared" si="0"/>
        <v>1</v>
      </c>
      <c r="H5" s="3" t="s">
        <v>14</v>
      </c>
      <c r="I5" t="s">
        <v>16</v>
      </c>
      <c r="K5" s="4" t="s">
        <v>11</v>
      </c>
      <c r="L5">
        <v>84022</v>
      </c>
      <c r="M5" t="s">
        <v>17</v>
      </c>
      <c r="O5" s="3" t="s">
        <v>14</v>
      </c>
      <c r="P5" t="s">
        <v>16</v>
      </c>
    </row>
    <row r="6" spans="1:25" x14ac:dyDescent="0.3">
      <c r="A6" s="1">
        <v>45658</v>
      </c>
      <c r="B6" t="s">
        <v>8</v>
      </c>
      <c r="C6" t="s">
        <v>10</v>
      </c>
      <c r="D6">
        <v>3568</v>
      </c>
      <c r="E6">
        <f t="shared" si="0"/>
        <v>1</v>
      </c>
      <c r="H6" s="4" t="s">
        <v>11</v>
      </c>
      <c r="I6">
        <v>84022</v>
      </c>
      <c r="K6" s="4" t="s">
        <v>13</v>
      </c>
      <c r="L6">
        <v>76108</v>
      </c>
      <c r="O6" s="5">
        <v>45658</v>
      </c>
      <c r="P6">
        <v>19003</v>
      </c>
    </row>
    <row r="7" spans="1:25" x14ac:dyDescent="0.3">
      <c r="A7" s="1">
        <v>45659</v>
      </c>
      <c r="B7" t="s">
        <v>4</v>
      </c>
      <c r="C7" t="s">
        <v>9</v>
      </c>
      <c r="D7">
        <v>1341</v>
      </c>
      <c r="E7">
        <f t="shared" si="0"/>
        <v>2</v>
      </c>
      <c r="H7" s="4" t="s">
        <v>13</v>
      </c>
      <c r="I7">
        <v>76108</v>
      </c>
      <c r="K7" s="4" t="s">
        <v>9</v>
      </c>
      <c r="L7">
        <v>74424</v>
      </c>
      <c r="O7" s="5">
        <v>45659</v>
      </c>
      <c r="P7">
        <v>10819</v>
      </c>
    </row>
    <row r="8" spans="1:25" x14ac:dyDescent="0.3">
      <c r="A8" s="1">
        <v>45659</v>
      </c>
      <c r="B8" t="s">
        <v>5</v>
      </c>
      <c r="C8" t="s">
        <v>12</v>
      </c>
      <c r="D8">
        <v>1802</v>
      </c>
      <c r="E8">
        <f t="shared" si="0"/>
        <v>2</v>
      </c>
      <c r="H8" s="4" t="s">
        <v>9</v>
      </c>
      <c r="I8">
        <v>74424</v>
      </c>
      <c r="K8" s="4" t="s">
        <v>10</v>
      </c>
      <c r="L8">
        <v>96524</v>
      </c>
      <c r="O8" s="5">
        <v>45660</v>
      </c>
      <c r="P8">
        <v>15591</v>
      </c>
    </row>
    <row r="9" spans="1:25" x14ac:dyDescent="0.3">
      <c r="A9" s="1">
        <v>45659</v>
      </c>
      <c r="B9" t="s">
        <v>6</v>
      </c>
      <c r="C9" t="s">
        <v>13</v>
      </c>
      <c r="D9">
        <v>1686</v>
      </c>
      <c r="E9">
        <f t="shared" si="0"/>
        <v>2</v>
      </c>
      <c r="H9" s="4" t="s">
        <v>10</v>
      </c>
      <c r="I9">
        <v>96524</v>
      </c>
      <c r="K9" s="4" t="s">
        <v>12</v>
      </c>
      <c r="L9">
        <v>75795</v>
      </c>
      <c r="O9" s="5">
        <v>45661</v>
      </c>
      <c r="P9">
        <v>9589</v>
      </c>
    </row>
    <row r="10" spans="1:25" x14ac:dyDescent="0.3">
      <c r="A10" s="1">
        <v>45659</v>
      </c>
      <c r="B10" t="s">
        <v>7</v>
      </c>
      <c r="C10" t="s">
        <v>11</v>
      </c>
      <c r="D10">
        <v>2606</v>
      </c>
      <c r="E10">
        <f t="shared" si="0"/>
        <v>2</v>
      </c>
      <c r="H10" s="4" t="s">
        <v>12</v>
      </c>
      <c r="I10">
        <v>75795</v>
      </c>
      <c r="K10" s="4" t="s">
        <v>15</v>
      </c>
      <c r="L10">
        <v>406873</v>
      </c>
      <c r="O10" s="5">
        <v>45662</v>
      </c>
      <c r="P10">
        <v>18540</v>
      </c>
    </row>
    <row r="11" spans="1:25" x14ac:dyDescent="0.3">
      <c r="A11" s="1">
        <v>45659</v>
      </c>
      <c r="B11" t="s">
        <v>8</v>
      </c>
      <c r="C11" t="s">
        <v>10</v>
      </c>
      <c r="D11">
        <v>3384</v>
      </c>
      <c r="E11">
        <f t="shared" si="0"/>
        <v>2</v>
      </c>
      <c r="H11" s="4" t="s">
        <v>15</v>
      </c>
      <c r="I11">
        <v>406873</v>
      </c>
      <c r="O11" s="5">
        <v>45663</v>
      </c>
      <c r="P11">
        <v>15207</v>
      </c>
    </row>
    <row r="12" spans="1:25" x14ac:dyDescent="0.3">
      <c r="A12" s="1">
        <v>45660</v>
      </c>
      <c r="B12" t="s">
        <v>4</v>
      </c>
      <c r="C12" t="s">
        <v>13</v>
      </c>
      <c r="D12">
        <v>4824</v>
      </c>
      <c r="E12">
        <f t="shared" si="0"/>
        <v>3</v>
      </c>
      <c r="O12" s="5">
        <v>45664</v>
      </c>
      <c r="P12">
        <v>16091</v>
      </c>
      <c r="S12" s="3" t="s">
        <v>16</v>
      </c>
      <c r="T12" s="3" t="s">
        <v>18</v>
      </c>
    </row>
    <row r="13" spans="1:25" x14ac:dyDescent="0.3">
      <c r="A13" s="1">
        <v>45660</v>
      </c>
      <c r="B13" t="s">
        <v>5</v>
      </c>
      <c r="C13" t="s">
        <v>13</v>
      </c>
      <c r="D13">
        <v>3535</v>
      </c>
      <c r="E13">
        <f t="shared" si="0"/>
        <v>3</v>
      </c>
      <c r="O13" s="5">
        <v>45665</v>
      </c>
      <c r="P13">
        <v>15920</v>
      </c>
      <c r="S13" s="3" t="s">
        <v>14</v>
      </c>
      <c r="T13" t="s">
        <v>4</v>
      </c>
      <c r="U13" t="s">
        <v>5</v>
      </c>
      <c r="V13" t="s">
        <v>6</v>
      </c>
      <c r="W13" t="s">
        <v>7</v>
      </c>
      <c r="X13" t="s">
        <v>8</v>
      </c>
      <c r="Y13" t="s">
        <v>15</v>
      </c>
    </row>
    <row r="14" spans="1:25" x14ac:dyDescent="0.3">
      <c r="A14" s="1">
        <v>45660</v>
      </c>
      <c r="B14" t="s">
        <v>6</v>
      </c>
      <c r="C14" t="s">
        <v>9</v>
      </c>
      <c r="D14">
        <v>2400</v>
      </c>
      <c r="E14">
        <f t="shared" si="0"/>
        <v>3</v>
      </c>
      <c r="K14" s="3" t="s">
        <v>14</v>
      </c>
      <c r="L14" t="s">
        <v>16</v>
      </c>
      <c r="O14" s="5">
        <v>45666</v>
      </c>
      <c r="P14">
        <v>14910</v>
      </c>
      <c r="S14" s="4" t="s">
        <v>11</v>
      </c>
      <c r="T14">
        <v>15091</v>
      </c>
      <c r="U14">
        <v>19394</v>
      </c>
      <c r="V14">
        <v>9521</v>
      </c>
      <c r="W14">
        <v>22963</v>
      </c>
      <c r="X14">
        <v>17053</v>
      </c>
      <c r="Y14">
        <v>84022</v>
      </c>
    </row>
    <row r="15" spans="1:25" x14ac:dyDescent="0.3">
      <c r="A15" s="1">
        <v>45660</v>
      </c>
      <c r="B15" t="s">
        <v>7</v>
      </c>
      <c r="C15" t="s">
        <v>13</v>
      </c>
      <c r="D15">
        <v>3000</v>
      </c>
      <c r="E15">
        <f t="shared" si="0"/>
        <v>3</v>
      </c>
      <c r="K15" s="4" t="s">
        <v>4</v>
      </c>
      <c r="L15">
        <v>83670</v>
      </c>
      <c r="O15" s="5">
        <v>45667</v>
      </c>
      <c r="P15">
        <v>10992</v>
      </c>
      <c r="S15" s="4" t="s">
        <v>13</v>
      </c>
      <c r="T15">
        <v>13625</v>
      </c>
      <c r="U15">
        <v>16012</v>
      </c>
      <c r="V15">
        <v>15559</v>
      </c>
      <c r="W15">
        <v>13267</v>
      </c>
      <c r="X15">
        <v>17645</v>
      </c>
      <c r="Y15">
        <v>76108</v>
      </c>
    </row>
    <row r="16" spans="1:25" x14ac:dyDescent="0.3">
      <c r="A16" s="1">
        <v>45660</v>
      </c>
      <c r="B16" t="s">
        <v>8</v>
      </c>
      <c r="C16" t="s">
        <v>12</v>
      </c>
      <c r="D16">
        <v>1832</v>
      </c>
      <c r="E16">
        <f t="shared" si="0"/>
        <v>3</v>
      </c>
      <c r="K16" s="4" t="s">
        <v>5</v>
      </c>
      <c r="L16">
        <v>87466</v>
      </c>
      <c r="O16" s="5">
        <v>45668</v>
      </c>
      <c r="P16">
        <v>12222</v>
      </c>
      <c r="S16" s="4" t="s">
        <v>9</v>
      </c>
      <c r="T16">
        <v>23647</v>
      </c>
      <c r="U16">
        <v>7715</v>
      </c>
      <c r="V16">
        <v>26276</v>
      </c>
      <c r="W16">
        <v>4988</v>
      </c>
      <c r="X16">
        <v>11798</v>
      </c>
      <c r="Y16">
        <v>74424</v>
      </c>
    </row>
    <row r="17" spans="1:25" x14ac:dyDescent="0.3">
      <c r="A17" s="1">
        <v>45661</v>
      </c>
      <c r="B17" t="s">
        <v>4</v>
      </c>
      <c r="C17" t="s">
        <v>9</v>
      </c>
      <c r="D17">
        <v>2486</v>
      </c>
      <c r="E17">
        <f t="shared" si="0"/>
        <v>4</v>
      </c>
      <c r="K17" s="4" t="s">
        <v>7</v>
      </c>
      <c r="L17">
        <v>87987</v>
      </c>
      <c r="O17" s="5">
        <v>45669</v>
      </c>
      <c r="P17">
        <v>18082</v>
      </c>
      <c r="S17" s="4" t="s">
        <v>10</v>
      </c>
      <c r="T17">
        <v>10419</v>
      </c>
      <c r="U17">
        <v>22252</v>
      </c>
      <c r="V17">
        <v>14462</v>
      </c>
      <c r="W17">
        <v>28330</v>
      </c>
      <c r="X17">
        <v>21061</v>
      </c>
      <c r="Y17">
        <v>96524</v>
      </c>
    </row>
    <row r="18" spans="1:25" x14ac:dyDescent="0.3">
      <c r="A18" s="1">
        <v>45661</v>
      </c>
      <c r="B18" t="s">
        <v>5</v>
      </c>
      <c r="C18" t="s">
        <v>12</v>
      </c>
      <c r="D18">
        <v>2257</v>
      </c>
      <c r="E18">
        <f t="shared" si="0"/>
        <v>4</v>
      </c>
      <c r="K18" s="4" t="s">
        <v>15</v>
      </c>
      <c r="L18">
        <v>259123</v>
      </c>
      <c r="O18" s="5">
        <v>45670</v>
      </c>
      <c r="P18">
        <v>13492</v>
      </c>
      <c r="S18" s="4" t="s">
        <v>12</v>
      </c>
      <c r="T18">
        <v>20888</v>
      </c>
      <c r="U18">
        <v>22093</v>
      </c>
      <c r="V18">
        <v>6226</v>
      </c>
      <c r="W18">
        <v>18439</v>
      </c>
      <c r="X18">
        <v>8149</v>
      </c>
      <c r="Y18">
        <v>75795</v>
      </c>
    </row>
    <row r="19" spans="1:25" x14ac:dyDescent="0.3">
      <c r="A19" s="1">
        <v>45661</v>
      </c>
      <c r="B19" t="s">
        <v>6</v>
      </c>
      <c r="C19" t="s">
        <v>13</v>
      </c>
      <c r="D19">
        <v>1456</v>
      </c>
      <c r="E19">
        <f t="shared" si="0"/>
        <v>4</v>
      </c>
      <c r="G19" s="3" t="s">
        <v>14</v>
      </c>
      <c r="H19" t="s">
        <v>16</v>
      </c>
      <c r="O19" s="5">
        <v>45671</v>
      </c>
      <c r="P19">
        <v>13277</v>
      </c>
      <c r="S19" s="4" t="s">
        <v>15</v>
      </c>
      <c r="T19">
        <v>83670</v>
      </c>
      <c r="U19">
        <v>87466</v>
      </c>
      <c r="V19">
        <v>72044</v>
      </c>
      <c r="W19">
        <v>87987</v>
      </c>
      <c r="X19">
        <v>75706</v>
      </c>
      <c r="Y19">
        <v>406873</v>
      </c>
    </row>
    <row r="20" spans="1:25" x14ac:dyDescent="0.3">
      <c r="A20" s="1">
        <v>45661</v>
      </c>
      <c r="B20" t="s">
        <v>7</v>
      </c>
      <c r="C20" t="s">
        <v>13</v>
      </c>
      <c r="D20">
        <v>1848</v>
      </c>
      <c r="E20">
        <f t="shared" si="0"/>
        <v>4</v>
      </c>
      <c r="G20" s="4">
        <v>1</v>
      </c>
      <c r="H20" s="11">
        <v>19003</v>
      </c>
      <c r="O20" s="5">
        <v>45672</v>
      </c>
      <c r="P20">
        <v>13502</v>
      </c>
    </row>
    <row r="21" spans="1:25" x14ac:dyDescent="0.3">
      <c r="A21" s="1">
        <v>45661</v>
      </c>
      <c r="B21" t="s">
        <v>8</v>
      </c>
      <c r="C21" t="s">
        <v>10</v>
      </c>
      <c r="D21">
        <v>1542</v>
      </c>
      <c r="E21">
        <f t="shared" si="0"/>
        <v>4</v>
      </c>
      <c r="G21" s="4">
        <v>2</v>
      </c>
      <c r="H21" s="11">
        <v>10819</v>
      </c>
      <c r="O21" s="5">
        <v>45673</v>
      </c>
      <c r="P21">
        <v>11067</v>
      </c>
    </row>
    <row r="22" spans="1:25" x14ac:dyDescent="0.3">
      <c r="A22" s="1">
        <v>45662</v>
      </c>
      <c r="B22" t="s">
        <v>4</v>
      </c>
      <c r="C22" t="s">
        <v>12</v>
      </c>
      <c r="D22">
        <v>4631</v>
      </c>
      <c r="E22">
        <f t="shared" si="0"/>
        <v>5</v>
      </c>
      <c r="G22" s="4">
        <v>3</v>
      </c>
      <c r="H22" s="11">
        <v>15591</v>
      </c>
      <c r="O22" s="5">
        <v>45674</v>
      </c>
      <c r="P22">
        <v>13643</v>
      </c>
    </row>
    <row r="23" spans="1:25" x14ac:dyDescent="0.3">
      <c r="A23" s="1">
        <v>45662</v>
      </c>
      <c r="B23" t="s">
        <v>5</v>
      </c>
      <c r="C23" t="s">
        <v>12</v>
      </c>
      <c r="D23">
        <v>2144</v>
      </c>
      <c r="E23">
        <f t="shared" si="0"/>
        <v>5</v>
      </c>
      <c r="G23" s="4">
        <v>4</v>
      </c>
      <c r="H23" s="11">
        <v>9589</v>
      </c>
      <c r="K23" t="s">
        <v>16</v>
      </c>
      <c r="O23" s="5">
        <v>45675</v>
      </c>
      <c r="P23">
        <v>14185</v>
      </c>
    </row>
    <row r="24" spans="1:25" x14ac:dyDescent="0.3">
      <c r="A24" s="1">
        <v>45662</v>
      </c>
      <c r="B24" t="s">
        <v>6</v>
      </c>
      <c r="C24" t="s">
        <v>10</v>
      </c>
      <c r="D24">
        <v>3021</v>
      </c>
      <c r="E24">
        <f t="shared" si="0"/>
        <v>5</v>
      </c>
      <c r="G24" s="4">
        <v>5</v>
      </c>
      <c r="H24" s="11">
        <v>18540</v>
      </c>
      <c r="K24" s="7">
        <v>406873</v>
      </c>
      <c r="O24" s="5">
        <v>45676</v>
      </c>
      <c r="P24">
        <v>8235</v>
      </c>
    </row>
    <row r="25" spans="1:25" x14ac:dyDescent="0.3">
      <c r="A25" s="1">
        <v>45662</v>
      </c>
      <c r="B25" t="s">
        <v>7</v>
      </c>
      <c r="C25" t="s">
        <v>13</v>
      </c>
      <c r="D25">
        <v>4617</v>
      </c>
      <c r="E25">
        <f t="shared" si="0"/>
        <v>5</v>
      </c>
      <c r="G25" s="4">
        <v>6</v>
      </c>
      <c r="H25" s="11">
        <v>15207</v>
      </c>
      <c r="K25" s="7">
        <v>406873</v>
      </c>
      <c r="O25" s="5">
        <v>45677</v>
      </c>
      <c r="P25">
        <v>12659</v>
      </c>
    </row>
    <row r="26" spans="1:25" x14ac:dyDescent="0.3">
      <c r="A26" s="1">
        <v>45662</v>
      </c>
      <c r="B26" t="s">
        <v>8</v>
      </c>
      <c r="C26" t="s">
        <v>13</v>
      </c>
      <c r="D26">
        <v>4127</v>
      </c>
      <c r="E26">
        <f t="shared" si="0"/>
        <v>5</v>
      </c>
      <c r="G26" s="4">
        <v>7</v>
      </c>
      <c r="H26" s="11">
        <v>16091</v>
      </c>
      <c r="K26" s="7">
        <v>406873</v>
      </c>
      <c r="O26" s="5">
        <v>45678</v>
      </c>
      <c r="P26">
        <v>10786</v>
      </c>
      <c r="U26" s="3" t="s">
        <v>14</v>
      </c>
      <c r="V26" t="s">
        <v>16</v>
      </c>
    </row>
    <row r="27" spans="1:25" x14ac:dyDescent="0.3">
      <c r="A27" s="1">
        <v>45663</v>
      </c>
      <c r="B27" t="s">
        <v>4</v>
      </c>
      <c r="C27" t="s">
        <v>11</v>
      </c>
      <c r="D27">
        <v>4119</v>
      </c>
      <c r="E27">
        <f t="shared" si="0"/>
        <v>6</v>
      </c>
      <c r="G27" s="4">
        <v>8</v>
      </c>
      <c r="H27" s="11">
        <v>15920</v>
      </c>
      <c r="O27" s="5">
        <v>45679</v>
      </c>
      <c r="P27">
        <v>17691</v>
      </c>
      <c r="U27" s="4" t="s">
        <v>11</v>
      </c>
      <c r="V27">
        <v>22963</v>
      </c>
    </row>
    <row r="28" spans="1:25" x14ac:dyDescent="0.3">
      <c r="A28" s="1">
        <v>45663</v>
      </c>
      <c r="B28" t="s">
        <v>5</v>
      </c>
      <c r="C28" t="s">
        <v>13</v>
      </c>
      <c r="D28">
        <v>1291</v>
      </c>
      <c r="E28">
        <f t="shared" si="0"/>
        <v>6</v>
      </c>
      <c r="G28" s="4">
        <v>9</v>
      </c>
      <c r="H28" s="11">
        <v>14910</v>
      </c>
      <c r="O28" s="5">
        <v>45680</v>
      </c>
      <c r="P28">
        <v>11959</v>
      </c>
      <c r="U28" s="6" t="s">
        <v>7</v>
      </c>
      <c r="V28">
        <v>22963</v>
      </c>
    </row>
    <row r="29" spans="1:25" x14ac:dyDescent="0.3">
      <c r="A29" s="1">
        <v>45663</v>
      </c>
      <c r="B29" t="s">
        <v>6</v>
      </c>
      <c r="C29" t="s">
        <v>9</v>
      </c>
      <c r="D29">
        <v>3104</v>
      </c>
      <c r="E29">
        <f t="shared" si="0"/>
        <v>6</v>
      </c>
      <c r="G29" s="4">
        <v>10</v>
      </c>
      <c r="H29" s="11">
        <v>10992</v>
      </c>
      <c r="O29" s="5">
        <v>45681</v>
      </c>
      <c r="P29">
        <v>14254</v>
      </c>
      <c r="U29" s="4" t="s">
        <v>13</v>
      </c>
      <c r="V29">
        <v>17645</v>
      </c>
    </row>
    <row r="30" spans="1:25" x14ac:dyDescent="0.3">
      <c r="A30" s="1">
        <v>45663</v>
      </c>
      <c r="B30" t="s">
        <v>7</v>
      </c>
      <c r="C30" t="s">
        <v>10</v>
      </c>
      <c r="D30">
        <v>2747</v>
      </c>
      <c r="E30">
        <f t="shared" si="0"/>
        <v>6</v>
      </c>
      <c r="G30" s="4">
        <v>11</v>
      </c>
      <c r="H30" s="11">
        <v>12222</v>
      </c>
      <c r="O30" s="5">
        <v>45682</v>
      </c>
      <c r="P30">
        <v>13035</v>
      </c>
      <c r="U30" s="6" t="s">
        <v>8</v>
      </c>
      <c r="V30">
        <v>17645</v>
      </c>
    </row>
    <row r="31" spans="1:25" x14ac:dyDescent="0.3">
      <c r="A31" s="1">
        <v>45663</v>
      </c>
      <c r="B31" t="s">
        <v>8</v>
      </c>
      <c r="C31" t="s">
        <v>11</v>
      </c>
      <c r="D31">
        <v>3946</v>
      </c>
      <c r="E31">
        <f t="shared" si="0"/>
        <v>6</v>
      </c>
      <c r="G31" s="4">
        <v>12</v>
      </c>
      <c r="H31" s="11">
        <v>18082</v>
      </c>
      <c r="O31" s="5">
        <v>45683</v>
      </c>
      <c r="P31">
        <v>13432</v>
      </c>
      <c r="U31" s="4" t="s">
        <v>9</v>
      </c>
      <c r="V31">
        <v>26276</v>
      </c>
    </row>
    <row r="32" spans="1:25" x14ac:dyDescent="0.3">
      <c r="A32" s="1">
        <v>45664</v>
      </c>
      <c r="B32" t="s">
        <v>4</v>
      </c>
      <c r="C32" t="s">
        <v>12</v>
      </c>
      <c r="D32">
        <v>3528</v>
      </c>
      <c r="E32">
        <f t="shared" si="0"/>
        <v>7</v>
      </c>
      <c r="G32" s="4">
        <v>13</v>
      </c>
      <c r="H32" s="11">
        <v>13492</v>
      </c>
      <c r="K32" s="3" t="s">
        <v>14</v>
      </c>
      <c r="L32" t="s">
        <v>16</v>
      </c>
      <c r="O32" s="5">
        <v>45684</v>
      </c>
      <c r="P32">
        <v>12131</v>
      </c>
      <c r="U32" s="6" t="s">
        <v>6</v>
      </c>
      <c r="V32">
        <v>26276</v>
      </c>
    </row>
    <row r="33" spans="1:22" x14ac:dyDescent="0.3">
      <c r="A33" s="1">
        <v>45664</v>
      </c>
      <c r="B33" t="s">
        <v>5</v>
      </c>
      <c r="C33" t="s">
        <v>10</v>
      </c>
      <c r="D33">
        <v>3680</v>
      </c>
      <c r="E33">
        <f t="shared" si="0"/>
        <v>7</v>
      </c>
      <c r="G33" s="4">
        <v>14</v>
      </c>
      <c r="H33" s="11">
        <v>13277</v>
      </c>
      <c r="K33" s="8" t="s">
        <v>4</v>
      </c>
      <c r="L33" s="9">
        <v>1</v>
      </c>
      <c r="O33" s="5">
        <v>45685</v>
      </c>
      <c r="P33">
        <v>10353</v>
      </c>
      <c r="U33" s="4" t="s">
        <v>10</v>
      </c>
      <c r="V33">
        <v>28330</v>
      </c>
    </row>
    <row r="34" spans="1:22" x14ac:dyDescent="0.3">
      <c r="A34" s="1">
        <v>45664</v>
      </c>
      <c r="B34" t="s">
        <v>6</v>
      </c>
      <c r="C34" t="s">
        <v>13</v>
      </c>
      <c r="D34">
        <v>3938</v>
      </c>
      <c r="E34">
        <f t="shared" ref="E34:E65" si="1">DAY(A34)</f>
        <v>7</v>
      </c>
      <c r="G34" s="4">
        <v>15</v>
      </c>
      <c r="H34" s="11">
        <v>13502</v>
      </c>
      <c r="K34" s="4" t="s">
        <v>5</v>
      </c>
      <c r="L34" s="10">
        <v>1.0453687104099438</v>
      </c>
      <c r="O34" s="5">
        <v>45686</v>
      </c>
      <c r="P34">
        <v>12574</v>
      </c>
      <c r="U34" s="6" t="s">
        <v>7</v>
      </c>
      <c r="V34">
        <v>28330</v>
      </c>
    </row>
    <row r="35" spans="1:22" x14ac:dyDescent="0.3">
      <c r="A35" s="1">
        <v>45664</v>
      </c>
      <c r="B35" t="s">
        <v>7</v>
      </c>
      <c r="C35" t="s">
        <v>10</v>
      </c>
      <c r="D35">
        <v>4158</v>
      </c>
      <c r="E35">
        <f t="shared" si="1"/>
        <v>7</v>
      </c>
      <c r="G35" s="4">
        <v>16</v>
      </c>
      <c r="H35" s="11">
        <v>11067</v>
      </c>
      <c r="K35" s="4" t="s">
        <v>6</v>
      </c>
      <c r="L35" s="10">
        <v>0.86104936058324366</v>
      </c>
      <c r="O35" s="5">
        <v>45687</v>
      </c>
      <c r="P35">
        <v>13632</v>
      </c>
      <c r="U35" s="4" t="s">
        <v>12</v>
      </c>
      <c r="V35">
        <v>22093</v>
      </c>
    </row>
    <row r="36" spans="1:22" x14ac:dyDescent="0.3">
      <c r="A36" s="1">
        <v>45664</v>
      </c>
      <c r="B36" t="s">
        <v>8</v>
      </c>
      <c r="C36" t="s">
        <v>10</v>
      </c>
      <c r="D36">
        <v>787</v>
      </c>
      <c r="E36">
        <f t="shared" si="1"/>
        <v>7</v>
      </c>
      <c r="G36" s="4">
        <v>17</v>
      </c>
      <c r="H36" s="11">
        <v>13643</v>
      </c>
      <c r="K36" s="4" t="s">
        <v>7</v>
      </c>
      <c r="L36" s="10">
        <v>1.0515955539619934</v>
      </c>
      <c r="O36" s="5" t="s">
        <v>15</v>
      </c>
      <c r="P36">
        <v>406873</v>
      </c>
      <c r="U36" s="6" t="s">
        <v>5</v>
      </c>
      <c r="V36">
        <v>22093</v>
      </c>
    </row>
    <row r="37" spans="1:22" x14ac:dyDescent="0.3">
      <c r="A37" s="1">
        <v>45665</v>
      </c>
      <c r="B37" t="s">
        <v>4</v>
      </c>
      <c r="C37" t="s">
        <v>9</v>
      </c>
      <c r="D37">
        <v>4483</v>
      </c>
      <c r="E37">
        <f t="shared" si="1"/>
        <v>8</v>
      </c>
      <c r="G37" s="4">
        <v>18</v>
      </c>
      <c r="H37" s="11">
        <v>14185</v>
      </c>
      <c r="K37" s="4" t="s">
        <v>8</v>
      </c>
      <c r="L37" s="10">
        <v>0.9048165411736584</v>
      </c>
      <c r="U37" s="4" t="s">
        <v>15</v>
      </c>
      <c r="V37">
        <v>117307</v>
      </c>
    </row>
    <row r="38" spans="1:22" x14ac:dyDescent="0.3">
      <c r="A38" s="1">
        <v>45665</v>
      </c>
      <c r="B38" t="s">
        <v>5</v>
      </c>
      <c r="C38" t="s">
        <v>10</v>
      </c>
      <c r="D38">
        <v>2789</v>
      </c>
      <c r="E38">
        <f t="shared" si="1"/>
        <v>8</v>
      </c>
      <c r="G38" s="4">
        <v>19</v>
      </c>
      <c r="H38" s="11">
        <v>8235</v>
      </c>
      <c r="K38" s="4" t="s">
        <v>15</v>
      </c>
      <c r="L38" s="10"/>
    </row>
    <row r="39" spans="1:22" x14ac:dyDescent="0.3">
      <c r="A39" s="1">
        <v>45665</v>
      </c>
      <c r="B39" t="s">
        <v>6</v>
      </c>
      <c r="C39" t="s">
        <v>11</v>
      </c>
      <c r="D39">
        <v>2417</v>
      </c>
      <c r="E39">
        <f t="shared" si="1"/>
        <v>8</v>
      </c>
      <c r="G39" s="4">
        <v>20</v>
      </c>
      <c r="H39" s="11">
        <v>12659</v>
      </c>
    </row>
    <row r="40" spans="1:22" x14ac:dyDescent="0.3">
      <c r="A40" s="1">
        <v>45665</v>
      </c>
      <c r="B40" t="s">
        <v>7</v>
      </c>
      <c r="C40" t="s">
        <v>12</v>
      </c>
      <c r="D40">
        <v>4548</v>
      </c>
      <c r="E40">
        <f t="shared" si="1"/>
        <v>8</v>
      </c>
      <c r="G40" s="4">
        <v>21</v>
      </c>
      <c r="H40" s="11">
        <v>10786</v>
      </c>
    </row>
    <row r="41" spans="1:22" x14ac:dyDescent="0.3">
      <c r="A41" s="1">
        <v>45665</v>
      </c>
      <c r="B41" t="s">
        <v>8</v>
      </c>
      <c r="C41" t="s">
        <v>13</v>
      </c>
      <c r="D41">
        <v>1683</v>
      </c>
      <c r="E41">
        <f t="shared" si="1"/>
        <v>8</v>
      </c>
      <c r="G41" s="4">
        <v>22</v>
      </c>
      <c r="H41" s="11">
        <v>17691</v>
      </c>
    </row>
    <row r="42" spans="1:22" x14ac:dyDescent="0.3">
      <c r="A42" s="1">
        <v>45666</v>
      </c>
      <c r="B42" t="s">
        <v>4</v>
      </c>
      <c r="C42" t="s">
        <v>9</v>
      </c>
      <c r="D42">
        <v>2293</v>
      </c>
      <c r="E42">
        <f t="shared" si="1"/>
        <v>9</v>
      </c>
      <c r="G42" s="4">
        <v>23</v>
      </c>
      <c r="H42" s="11">
        <v>11959</v>
      </c>
    </row>
    <row r="43" spans="1:22" x14ac:dyDescent="0.3">
      <c r="A43" s="1">
        <v>45666</v>
      </c>
      <c r="B43" t="s">
        <v>5</v>
      </c>
      <c r="C43" t="s">
        <v>13</v>
      </c>
      <c r="D43">
        <v>4736</v>
      </c>
      <c r="E43">
        <f t="shared" si="1"/>
        <v>9</v>
      </c>
      <c r="G43" s="4">
        <v>24</v>
      </c>
      <c r="H43" s="11">
        <v>14254</v>
      </c>
    </row>
    <row r="44" spans="1:22" x14ac:dyDescent="0.3">
      <c r="A44" s="1">
        <v>45666</v>
      </c>
      <c r="B44" t="s">
        <v>6</v>
      </c>
      <c r="C44" t="s">
        <v>11</v>
      </c>
      <c r="D44">
        <v>893</v>
      </c>
      <c r="E44">
        <f t="shared" si="1"/>
        <v>9</v>
      </c>
      <c r="G44" s="4">
        <v>25</v>
      </c>
      <c r="H44" s="11">
        <v>13035</v>
      </c>
    </row>
    <row r="45" spans="1:22" x14ac:dyDescent="0.3">
      <c r="A45" s="1">
        <v>45666</v>
      </c>
      <c r="B45" t="s">
        <v>7</v>
      </c>
      <c r="C45" t="s">
        <v>12</v>
      </c>
      <c r="D45">
        <v>3777</v>
      </c>
      <c r="E45">
        <f t="shared" si="1"/>
        <v>9</v>
      </c>
      <c r="G45" s="4">
        <v>26</v>
      </c>
      <c r="H45" s="11">
        <v>13432</v>
      </c>
    </row>
    <row r="46" spans="1:22" x14ac:dyDescent="0.3">
      <c r="A46" s="1">
        <v>45666</v>
      </c>
      <c r="B46" t="s">
        <v>8</v>
      </c>
      <c r="C46" t="s">
        <v>10</v>
      </c>
      <c r="D46">
        <v>3211</v>
      </c>
      <c r="E46">
        <f t="shared" si="1"/>
        <v>9</v>
      </c>
      <c r="G46" s="4">
        <v>27</v>
      </c>
      <c r="H46" s="11">
        <v>12131</v>
      </c>
    </row>
    <row r="47" spans="1:22" x14ac:dyDescent="0.3">
      <c r="A47" s="1">
        <v>45667</v>
      </c>
      <c r="B47" t="s">
        <v>4</v>
      </c>
      <c r="C47" t="s">
        <v>9</v>
      </c>
      <c r="D47">
        <v>3669</v>
      </c>
      <c r="E47">
        <f t="shared" si="1"/>
        <v>10</v>
      </c>
      <c r="G47" s="4">
        <v>28</v>
      </c>
      <c r="H47" s="11">
        <v>10353</v>
      </c>
    </row>
    <row r="48" spans="1:22" x14ac:dyDescent="0.3">
      <c r="A48" s="1">
        <v>45667</v>
      </c>
      <c r="B48" t="s">
        <v>5</v>
      </c>
      <c r="C48" t="s">
        <v>10</v>
      </c>
      <c r="D48">
        <v>1616</v>
      </c>
      <c r="E48">
        <f t="shared" si="1"/>
        <v>10</v>
      </c>
      <c r="G48" s="4">
        <v>29</v>
      </c>
      <c r="H48" s="11">
        <v>12574</v>
      </c>
    </row>
    <row r="49" spans="1:8" x14ac:dyDescent="0.3">
      <c r="A49" s="1">
        <v>45667</v>
      </c>
      <c r="B49" t="s">
        <v>6</v>
      </c>
      <c r="C49" t="s">
        <v>9</v>
      </c>
      <c r="D49">
        <v>3377</v>
      </c>
      <c r="E49">
        <f t="shared" si="1"/>
        <v>10</v>
      </c>
      <c r="G49" s="4">
        <v>30</v>
      </c>
      <c r="H49" s="11">
        <v>13632</v>
      </c>
    </row>
    <row r="50" spans="1:8" x14ac:dyDescent="0.3">
      <c r="A50" s="1">
        <v>45667</v>
      </c>
      <c r="B50" t="s">
        <v>7</v>
      </c>
      <c r="C50" t="s">
        <v>13</v>
      </c>
      <c r="D50">
        <v>1320</v>
      </c>
      <c r="E50">
        <f t="shared" si="1"/>
        <v>10</v>
      </c>
      <c r="G50" s="4" t="s">
        <v>15</v>
      </c>
      <c r="H50" s="11">
        <v>406873</v>
      </c>
    </row>
    <row r="51" spans="1:8" x14ac:dyDescent="0.3">
      <c r="A51" s="1">
        <v>45667</v>
      </c>
      <c r="B51" t="s">
        <v>8</v>
      </c>
      <c r="C51" t="s">
        <v>12</v>
      </c>
      <c r="D51">
        <v>1010</v>
      </c>
      <c r="E51">
        <f t="shared" si="1"/>
        <v>10</v>
      </c>
    </row>
    <row r="52" spans="1:8" x14ac:dyDescent="0.3">
      <c r="A52" s="1">
        <v>45668</v>
      </c>
      <c r="B52" t="s">
        <v>4</v>
      </c>
      <c r="C52" t="s">
        <v>13</v>
      </c>
      <c r="D52">
        <v>1985</v>
      </c>
      <c r="E52">
        <f t="shared" si="1"/>
        <v>11</v>
      </c>
    </row>
    <row r="53" spans="1:8" x14ac:dyDescent="0.3">
      <c r="A53" s="1">
        <v>45668</v>
      </c>
      <c r="B53" t="s">
        <v>5</v>
      </c>
      <c r="C53" t="s">
        <v>10</v>
      </c>
      <c r="D53">
        <v>2140</v>
      </c>
      <c r="E53">
        <f t="shared" si="1"/>
        <v>11</v>
      </c>
    </row>
    <row r="54" spans="1:8" x14ac:dyDescent="0.3">
      <c r="A54" s="1">
        <v>45668</v>
      </c>
      <c r="B54" t="s">
        <v>6</v>
      </c>
      <c r="C54" t="s">
        <v>13</v>
      </c>
      <c r="D54">
        <v>1007</v>
      </c>
      <c r="E54">
        <f t="shared" si="1"/>
        <v>11</v>
      </c>
    </row>
    <row r="55" spans="1:8" x14ac:dyDescent="0.3">
      <c r="A55" s="1">
        <v>45668</v>
      </c>
      <c r="B55" t="s">
        <v>7</v>
      </c>
      <c r="C55" t="s">
        <v>9</v>
      </c>
      <c r="D55">
        <v>3739</v>
      </c>
      <c r="E55">
        <f t="shared" si="1"/>
        <v>11</v>
      </c>
    </row>
    <row r="56" spans="1:8" x14ac:dyDescent="0.3">
      <c r="A56" s="1">
        <v>45668</v>
      </c>
      <c r="B56" t="s">
        <v>8</v>
      </c>
      <c r="C56" t="s">
        <v>13</v>
      </c>
      <c r="D56">
        <v>3351</v>
      </c>
      <c r="E56">
        <f t="shared" si="1"/>
        <v>11</v>
      </c>
    </row>
    <row r="57" spans="1:8" x14ac:dyDescent="0.3">
      <c r="A57" s="1">
        <v>45669</v>
      </c>
      <c r="B57" t="s">
        <v>4</v>
      </c>
      <c r="C57" t="s">
        <v>12</v>
      </c>
      <c r="D57">
        <v>4454</v>
      </c>
      <c r="E57">
        <f t="shared" si="1"/>
        <v>12</v>
      </c>
    </row>
    <row r="58" spans="1:8" x14ac:dyDescent="0.3">
      <c r="A58" s="1">
        <v>45669</v>
      </c>
      <c r="B58" t="s">
        <v>5</v>
      </c>
      <c r="C58" t="s">
        <v>11</v>
      </c>
      <c r="D58">
        <v>4916</v>
      </c>
      <c r="E58">
        <f t="shared" si="1"/>
        <v>12</v>
      </c>
    </row>
    <row r="59" spans="1:8" x14ac:dyDescent="0.3">
      <c r="A59" s="1">
        <v>45669</v>
      </c>
      <c r="B59" t="s">
        <v>6</v>
      </c>
      <c r="C59" t="s">
        <v>10</v>
      </c>
      <c r="D59">
        <v>3975</v>
      </c>
      <c r="E59">
        <f t="shared" si="1"/>
        <v>12</v>
      </c>
    </row>
    <row r="60" spans="1:8" x14ac:dyDescent="0.3">
      <c r="A60" s="1">
        <v>45669</v>
      </c>
      <c r="B60" t="s">
        <v>7</v>
      </c>
      <c r="C60" t="s">
        <v>12</v>
      </c>
      <c r="D60">
        <v>1950</v>
      </c>
      <c r="E60">
        <f t="shared" si="1"/>
        <v>12</v>
      </c>
    </row>
    <row r="61" spans="1:8" x14ac:dyDescent="0.3">
      <c r="A61" s="1">
        <v>45669</v>
      </c>
      <c r="B61" t="s">
        <v>8</v>
      </c>
      <c r="C61" t="s">
        <v>12</v>
      </c>
      <c r="D61">
        <v>2787</v>
      </c>
      <c r="E61">
        <f t="shared" si="1"/>
        <v>12</v>
      </c>
    </row>
    <row r="62" spans="1:8" x14ac:dyDescent="0.3">
      <c r="A62" s="1">
        <v>45670</v>
      </c>
      <c r="B62" t="s">
        <v>4</v>
      </c>
      <c r="C62" t="s">
        <v>12</v>
      </c>
      <c r="D62">
        <v>1709</v>
      </c>
      <c r="E62">
        <f t="shared" si="1"/>
        <v>13</v>
      </c>
    </row>
    <row r="63" spans="1:8" x14ac:dyDescent="0.3">
      <c r="A63" s="1">
        <v>45670</v>
      </c>
      <c r="B63" t="s">
        <v>5</v>
      </c>
      <c r="C63" t="s">
        <v>12</v>
      </c>
      <c r="D63">
        <v>4285</v>
      </c>
      <c r="E63">
        <f t="shared" si="1"/>
        <v>13</v>
      </c>
    </row>
    <row r="64" spans="1:8" x14ac:dyDescent="0.3">
      <c r="A64" s="1">
        <v>45670</v>
      </c>
      <c r="B64" t="s">
        <v>6</v>
      </c>
      <c r="C64" t="s">
        <v>9</v>
      </c>
      <c r="D64">
        <v>1717</v>
      </c>
      <c r="E64">
        <f t="shared" si="1"/>
        <v>13</v>
      </c>
    </row>
    <row r="65" spans="1:5" x14ac:dyDescent="0.3">
      <c r="A65" s="1">
        <v>45670</v>
      </c>
      <c r="B65" t="s">
        <v>7</v>
      </c>
      <c r="C65" t="s">
        <v>10</v>
      </c>
      <c r="D65">
        <v>4687</v>
      </c>
      <c r="E65">
        <f t="shared" si="1"/>
        <v>13</v>
      </c>
    </row>
    <row r="66" spans="1:5" x14ac:dyDescent="0.3">
      <c r="A66" s="1">
        <v>45670</v>
      </c>
      <c r="B66" t="s">
        <v>8</v>
      </c>
      <c r="C66" t="s">
        <v>13</v>
      </c>
      <c r="D66">
        <v>1094</v>
      </c>
      <c r="E66">
        <f t="shared" ref="E66:E97" si="2">DAY(A66)</f>
        <v>13</v>
      </c>
    </row>
    <row r="67" spans="1:5" x14ac:dyDescent="0.3">
      <c r="A67" s="1">
        <v>45671</v>
      </c>
      <c r="B67" t="s">
        <v>4</v>
      </c>
      <c r="C67" t="s">
        <v>9</v>
      </c>
      <c r="D67">
        <v>3554</v>
      </c>
      <c r="E67">
        <f t="shared" si="2"/>
        <v>14</v>
      </c>
    </row>
    <row r="68" spans="1:5" x14ac:dyDescent="0.3">
      <c r="A68" s="1">
        <v>45671</v>
      </c>
      <c r="B68" t="s">
        <v>5</v>
      </c>
      <c r="C68" t="s">
        <v>10</v>
      </c>
      <c r="D68">
        <v>3586</v>
      </c>
      <c r="E68">
        <f t="shared" si="2"/>
        <v>14</v>
      </c>
    </row>
    <row r="69" spans="1:5" x14ac:dyDescent="0.3">
      <c r="A69" s="1">
        <v>45671</v>
      </c>
      <c r="B69" t="s">
        <v>6</v>
      </c>
      <c r="C69" t="s">
        <v>12</v>
      </c>
      <c r="D69">
        <v>3566</v>
      </c>
      <c r="E69">
        <f t="shared" si="2"/>
        <v>14</v>
      </c>
    </row>
    <row r="70" spans="1:5" x14ac:dyDescent="0.3">
      <c r="A70" s="1">
        <v>45671</v>
      </c>
      <c r="B70" t="s">
        <v>7</v>
      </c>
      <c r="C70" t="s">
        <v>13</v>
      </c>
      <c r="D70">
        <v>1083</v>
      </c>
      <c r="E70">
        <f t="shared" si="2"/>
        <v>14</v>
      </c>
    </row>
    <row r="71" spans="1:5" x14ac:dyDescent="0.3">
      <c r="A71" s="1">
        <v>45671</v>
      </c>
      <c r="B71" t="s">
        <v>8</v>
      </c>
      <c r="C71" t="s">
        <v>13</v>
      </c>
      <c r="D71">
        <v>1488</v>
      </c>
      <c r="E71">
        <f t="shared" si="2"/>
        <v>14</v>
      </c>
    </row>
    <row r="72" spans="1:5" x14ac:dyDescent="0.3">
      <c r="A72" s="1">
        <v>45672</v>
      </c>
      <c r="B72" t="s">
        <v>4</v>
      </c>
      <c r="C72" t="s">
        <v>10</v>
      </c>
      <c r="D72">
        <v>1854</v>
      </c>
      <c r="E72">
        <f t="shared" si="2"/>
        <v>15</v>
      </c>
    </row>
    <row r="73" spans="1:5" x14ac:dyDescent="0.3">
      <c r="A73" s="1">
        <v>45672</v>
      </c>
      <c r="B73" t="s">
        <v>5</v>
      </c>
      <c r="C73" t="s">
        <v>11</v>
      </c>
      <c r="D73">
        <v>3101</v>
      </c>
      <c r="E73">
        <f t="shared" si="2"/>
        <v>15</v>
      </c>
    </row>
    <row r="74" spans="1:5" x14ac:dyDescent="0.3">
      <c r="A74" s="1">
        <v>45672</v>
      </c>
      <c r="B74" t="s">
        <v>6</v>
      </c>
      <c r="C74" t="s">
        <v>9</v>
      </c>
      <c r="D74">
        <v>3268</v>
      </c>
      <c r="E74">
        <f t="shared" si="2"/>
        <v>15</v>
      </c>
    </row>
    <row r="75" spans="1:5" x14ac:dyDescent="0.3">
      <c r="A75" s="1">
        <v>45672</v>
      </c>
      <c r="B75" t="s">
        <v>7</v>
      </c>
      <c r="C75" t="s">
        <v>12</v>
      </c>
      <c r="D75">
        <v>2814</v>
      </c>
      <c r="E75">
        <f t="shared" si="2"/>
        <v>15</v>
      </c>
    </row>
    <row r="76" spans="1:5" x14ac:dyDescent="0.3">
      <c r="A76" s="1">
        <v>45672</v>
      </c>
      <c r="B76" t="s">
        <v>8</v>
      </c>
      <c r="C76" t="s">
        <v>11</v>
      </c>
      <c r="D76">
        <v>2465</v>
      </c>
      <c r="E76">
        <f t="shared" si="2"/>
        <v>15</v>
      </c>
    </row>
    <row r="77" spans="1:5" x14ac:dyDescent="0.3">
      <c r="A77" s="1">
        <v>45673</v>
      </c>
      <c r="B77" t="s">
        <v>4</v>
      </c>
      <c r="C77" t="s">
        <v>12</v>
      </c>
      <c r="D77">
        <v>2013</v>
      </c>
      <c r="E77">
        <f t="shared" si="2"/>
        <v>16</v>
      </c>
    </row>
    <row r="78" spans="1:5" x14ac:dyDescent="0.3">
      <c r="A78" s="1">
        <v>45673</v>
      </c>
      <c r="B78" t="s">
        <v>5</v>
      </c>
      <c r="C78" t="s">
        <v>11</v>
      </c>
      <c r="D78">
        <v>2626</v>
      </c>
      <c r="E78">
        <f t="shared" si="2"/>
        <v>16</v>
      </c>
    </row>
    <row r="79" spans="1:5" x14ac:dyDescent="0.3">
      <c r="A79" s="1">
        <v>45673</v>
      </c>
      <c r="B79" t="s">
        <v>6</v>
      </c>
      <c r="C79" t="s">
        <v>12</v>
      </c>
      <c r="D79">
        <v>1105</v>
      </c>
      <c r="E79">
        <f t="shared" si="2"/>
        <v>16</v>
      </c>
    </row>
    <row r="80" spans="1:5" x14ac:dyDescent="0.3">
      <c r="A80" s="1">
        <v>45673</v>
      </c>
      <c r="B80" t="s">
        <v>7</v>
      </c>
      <c r="C80" t="s">
        <v>10</v>
      </c>
      <c r="D80">
        <v>3873</v>
      </c>
      <c r="E80">
        <f t="shared" si="2"/>
        <v>16</v>
      </c>
    </row>
    <row r="81" spans="1:5" x14ac:dyDescent="0.3">
      <c r="A81" s="1">
        <v>45673</v>
      </c>
      <c r="B81" t="s">
        <v>8</v>
      </c>
      <c r="C81" t="s">
        <v>11</v>
      </c>
      <c r="D81">
        <v>1450</v>
      </c>
      <c r="E81">
        <f t="shared" si="2"/>
        <v>16</v>
      </c>
    </row>
    <row r="82" spans="1:5" x14ac:dyDescent="0.3">
      <c r="A82" s="1">
        <v>45674</v>
      </c>
      <c r="B82" t="s">
        <v>4</v>
      </c>
      <c r="C82" t="s">
        <v>13</v>
      </c>
      <c r="D82">
        <v>2883</v>
      </c>
      <c r="E82">
        <f t="shared" si="2"/>
        <v>17</v>
      </c>
    </row>
    <row r="83" spans="1:5" x14ac:dyDescent="0.3">
      <c r="A83" s="1">
        <v>45674</v>
      </c>
      <c r="B83" t="s">
        <v>5</v>
      </c>
      <c r="C83" t="s">
        <v>12</v>
      </c>
      <c r="D83">
        <v>978</v>
      </c>
      <c r="E83">
        <f t="shared" si="2"/>
        <v>17</v>
      </c>
    </row>
    <row r="84" spans="1:5" x14ac:dyDescent="0.3">
      <c r="A84" s="1">
        <v>45674</v>
      </c>
      <c r="B84" t="s">
        <v>6</v>
      </c>
      <c r="C84" t="s">
        <v>9</v>
      </c>
      <c r="D84">
        <v>4032</v>
      </c>
      <c r="E84">
        <f t="shared" si="2"/>
        <v>17</v>
      </c>
    </row>
    <row r="85" spans="1:5" x14ac:dyDescent="0.3">
      <c r="A85" s="1">
        <v>45674</v>
      </c>
      <c r="B85" t="s">
        <v>7</v>
      </c>
      <c r="C85" t="s">
        <v>9</v>
      </c>
      <c r="D85">
        <v>1249</v>
      </c>
      <c r="E85">
        <f t="shared" si="2"/>
        <v>17</v>
      </c>
    </row>
    <row r="86" spans="1:5" x14ac:dyDescent="0.3">
      <c r="A86" s="1">
        <v>45674</v>
      </c>
      <c r="B86" t="s">
        <v>8</v>
      </c>
      <c r="C86" t="s">
        <v>11</v>
      </c>
      <c r="D86">
        <v>4501</v>
      </c>
      <c r="E86">
        <f t="shared" si="2"/>
        <v>17</v>
      </c>
    </row>
    <row r="87" spans="1:5" x14ac:dyDescent="0.3">
      <c r="A87" s="1">
        <v>45675</v>
      </c>
      <c r="B87" t="s">
        <v>4</v>
      </c>
      <c r="C87" t="s">
        <v>11</v>
      </c>
      <c r="D87">
        <v>2301</v>
      </c>
      <c r="E87">
        <f t="shared" si="2"/>
        <v>18</v>
      </c>
    </row>
    <row r="88" spans="1:5" x14ac:dyDescent="0.3">
      <c r="A88" s="1">
        <v>45675</v>
      </c>
      <c r="B88" t="s">
        <v>5</v>
      </c>
      <c r="C88" t="s">
        <v>12</v>
      </c>
      <c r="D88">
        <v>4892</v>
      </c>
      <c r="E88">
        <f t="shared" si="2"/>
        <v>18</v>
      </c>
    </row>
    <row r="89" spans="1:5" x14ac:dyDescent="0.3">
      <c r="A89" s="1">
        <v>45675</v>
      </c>
      <c r="B89" t="s">
        <v>6</v>
      </c>
      <c r="C89" t="s">
        <v>11</v>
      </c>
      <c r="D89">
        <v>597</v>
      </c>
      <c r="E89">
        <f t="shared" si="2"/>
        <v>18</v>
      </c>
    </row>
    <row r="90" spans="1:5" x14ac:dyDescent="0.3">
      <c r="A90" s="1">
        <v>45675</v>
      </c>
      <c r="B90" t="s">
        <v>7</v>
      </c>
      <c r="C90" t="s">
        <v>11</v>
      </c>
      <c r="D90">
        <v>3700</v>
      </c>
      <c r="E90">
        <f t="shared" si="2"/>
        <v>18</v>
      </c>
    </row>
    <row r="91" spans="1:5" x14ac:dyDescent="0.3">
      <c r="A91" s="1">
        <v>45675</v>
      </c>
      <c r="B91" t="s">
        <v>8</v>
      </c>
      <c r="C91" t="s">
        <v>9</v>
      </c>
      <c r="D91">
        <v>2695</v>
      </c>
      <c r="E91">
        <f t="shared" si="2"/>
        <v>18</v>
      </c>
    </row>
    <row r="92" spans="1:5" x14ac:dyDescent="0.3">
      <c r="A92" s="1">
        <v>45676</v>
      </c>
      <c r="B92" t="s">
        <v>4</v>
      </c>
      <c r="C92" t="s">
        <v>12</v>
      </c>
      <c r="D92">
        <v>1232</v>
      </c>
      <c r="E92">
        <f t="shared" si="2"/>
        <v>19</v>
      </c>
    </row>
    <row r="93" spans="1:5" x14ac:dyDescent="0.3">
      <c r="A93" s="1">
        <v>45676</v>
      </c>
      <c r="B93" t="s">
        <v>5</v>
      </c>
      <c r="C93" t="s">
        <v>11</v>
      </c>
      <c r="D93">
        <v>2310</v>
      </c>
      <c r="E93">
        <f t="shared" si="2"/>
        <v>19</v>
      </c>
    </row>
    <row r="94" spans="1:5" x14ac:dyDescent="0.3">
      <c r="A94" s="1">
        <v>45676</v>
      </c>
      <c r="B94" t="s">
        <v>6</v>
      </c>
      <c r="C94" t="s">
        <v>11</v>
      </c>
      <c r="D94">
        <v>902</v>
      </c>
      <c r="E94">
        <f t="shared" si="2"/>
        <v>19</v>
      </c>
    </row>
    <row r="95" spans="1:5" x14ac:dyDescent="0.3">
      <c r="A95" s="1">
        <v>45676</v>
      </c>
      <c r="B95" t="s">
        <v>7</v>
      </c>
      <c r="C95" t="s">
        <v>11</v>
      </c>
      <c r="D95">
        <v>3102</v>
      </c>
      <c r="E95">
        <f t="shared" si="2"/>
        <v>19</v>
      </c>
    </row>
    <row r="96" spans="1:5" x14ac:dyDescent="0.3">
      <c r="A96" s="1">
        <v>45676</v>
      </c>
      <c r="B96" t="s">
        <v>8</v>
      </c>
      <c r="C96" t="s">
        <v>9</v>
      </c>
      <c r="D96">
        <v>689</v>
      </c>
      <c r="E96">
        <f t="shared" si="2"/>
        <v>19</v>
      </c>
    </row>
    <row r="97" spans="1:5" x14ac:dyDescent="0.3">
      <c r="A97" s="1">
        <v>45677</v>
      </c>
      <c r="B97" t="s">
        <v>4</v>
      </c>
      <c r="C97" t="s">
        <v>12</v>
      </c>
      <c r="D97">
        <v>1082</v>
      </c>
      <c r="E97">
        <f t="shared" si="2"/>
        <v>20</v>
      </c>
    </row>
    <row r="98" spans="1:5" x14ac:dyDescent="0.3">
      <c r="A98" s="1">
        <v>45677</v>
      </c>
      <c r="B98" t="s">
        <v>5</v>
      </c>
      <c r="C98" t="s">
        <v>11</v>
      </c>
      <c r="D98">
        <v>4450</v>
      </c>
      <c r="E98">
        <f t="shared" ref="E98:E129" si="3">DAY(A98)</f>
        <v>20</v>
      </c>
    </row>
    <row r="99" spans="1:5" x14ac:dyDescent="0.3">
      <c r="A99" s="1">
        <v>45677</v>
      </c>
      <c r="B99" t="s">
        <v>6</v>
      </c>
      <c r="C99" t="s">
        <v>13</v>
      </c>
      <c r="D99">
        <v>1274</v>
      </c>
      <c r="E99">
        <f t="shared" si="3"/>
        <v>20</v>
      </c>
    </row>
    <row r="100" spans="1:5" x14ac:dyDescent="0.3">
      <c r="A100" s="1">
        <v>45677</v>
      </c>
      <c r="B100" t="s">
        <v>7</v>
      </c>
      <c r="C100" t="s">
        <v>11</v>
      </c>
      <c r="D100">
        <v>1029</v>
      </c>
      <c r="E100">
        <f t="shared" si="3"/>
        <v>20</v>
      </c>
    </row>
    <row r="101" spans="1:5" x14ac:dyDescent="0.3">
      <c r="A101" s="1">
        <v>45677</v>
      </c>
      <c r="B101" t="s">
        <v>8</v>
      </c>
      <c r="C101" t="s">
        <v>9</v>
      </c>
      <c r="D101">
        <v>4824</v>
      </c>
      <c r="E101">
        <f t="shared" si="3"/>
        <v>20</v>
      </c>
    </row>
    <row r="102" spans="1:5" x14ac:dyDescent="0.3">
      <c r="A102" s="1">
        <v>45678</v>
      </c>
      <c r="B102" t="s">
        <v>4</v>
      </c>
      <c r="C102" t="s">
        <v>11</v>
      </c>
      <c r="D102">
        <v>3897</v>
      </c>
      <c r="E102">
        <f t="shared" si="3"/>
        <v>21</v>
      </c>
    </row>
    <row r="103" spans="1:5" x14ac:dyDescent="0.3">
      <c r="A103" s="1">
        <v>45678</v>
      </c>
      <c r="B103" t="s">
        <v>5</v>
      </c>
      <c r="C103" t="s">
        <v>12</v>
      </c>
      <c r="D103">
        <v>1805</v>
      </c>
      <c r="E103">
        <f t="shared" si="3"/>
        <v>21</v>
      </c>
    </row>
    <row r="104" spans="1:5" x14ac:dyDescent="0.3">
      <c r="A104" s="1">
        <v>45678</v>
      </c>
      <c r="B104" t="s">
        <v>6</v>
      </c>
      <c r="C104" t="s">
        <v>9</v>
      </c>
      <c r="D104">
        <v>1864</v>
      </c>
      <c r="E104">
        <f t="shared" si="3"/>
        <v>21</v>
      </c>
    </row>
    <row r="105" spans="1:5" x14ac:dyDescent="0.3">
      <c r="A105" s="1">
        <v>45678</v>
      </c>
      <c r="B105" t="s">
        <v>7</v>
      </c>
      <c r="C105" t="s">
        <v>10</v>
      </c>
      <c r="D105">
        <v>2378</v>
      </c>
      <c r="E105">
        <f t="shared" si="3"/>
        <v>21</v>
      </c>
    </row>
    <row r="106" spans="1:5" x14ac:dyDescent="0.3">
      <c r="A106" s="1">
        <v>45678</v>
      </c>
      <c r="B106" t="s">
        <v>8</v>
      </c>
      <c r="C106" t="s">
        <v>10</v>
      </c>
      <c r="D106">
        <v>842</v>
      </c>
      <c r="E106">
        <f t="shared" si="3"/>
        <v>21</v>
      </c>
    </row>
    <row r="107" spans="1:5" x14ac:dyDescent="0.3">
      <c r="A107" s="1">
        <v>45679</v>
      </c>
      <c r="B107" t="s">
        <v>4</v>
      </c>
      <c r="C107" t="s">
        <v>11</v>
      </c>
      <c r="D107">
        <v>4774</v>
      </c>
      <c r="E107">
        <f t="shared" si="3"/>
        <v>22</v>
      </c>
    </row>
    <row r="108" spans="1:5" x14ac:dyDescent="0.3">
      <c r="A108" s="1">
        <v>45679</v>
      </c>
      <c r="B108" t="s">
        <v>5</v>
      </c>
      <c r="C108" t="s">
        <v>9</v>
      </c>
      <c r="D108">
        <v>3821</v>
      </c>
      <c r="E108">
        <f t="shared" si="3"/>
        <v>22</v>
      </c>
    </row>
    <row r="109" spans="1:5" x14ac:dyDescent="0.3">
      <c r="A109" s="1">
        <v>45679</v>
      </c>
      <c r="B109" t="s">
        <v>6</v>
      </c>
      <c r="C109" t="s">
        <v>9</v>
      </c>
      <c r="D109">
        <v>4460</v>
      </c>
      <c r="E109">
        <f t="shared" si="3"/>
        <v>22</v>
      </c>
    </row>
    <row r="110" spans="1:5" x14ac:dyDescent="0.3">
      <c r="A110" s="1">
        <v>45679</v>
      </c>
      <c r="B110" t="s">
        <v>7</v>
      </c>
      <c r="C110" t="s">
        <v>10</v>
      </c>
      <c r="D110">
        <v>3349</v>
      </c>
      <c r="E110">
        <f t="shared" si="3"/>
        <v>22</v>
      </c>
    </row>
    <row r="111" spans="1:5" x14ac:dyDescent="0.3">
      <c r="A111" s="1">
        <v>45679</v>
      </c>
      <c r="B111" t="s">
        <v>8</v>
      </c>
      <c r="C111" t="s">
        <v>12</v>
      </c>
      <c r="D111">
        <v>1287</v>
      </c>
      <c r="E111">
        <f t="shared" si="3"/>
        <v>22</v>
      </c>
    </row>
    <row r="112" spans="1:5" x14ac:dyDescent="0.3">
      <c r="A112" s="1">
        <v>45680</v>
      </c>
      <c r="B112" t="s">
        <v>4</v>
      </c>
      <c r="C112" t="s">
        <v>10</v>
      </c>
      <c r="D112">
        <v>2271</v>
      </c>
      <c r="E112">
        <f t="shared" si="3"/>
        <v>23</v>
      </c>
    </row>
    <row r="113" spans="1:5" x14ac:dyDescent="0.3">
      <c r="A113" s="1">
        <v>45680</v>
      </c>
      <c r="B113" t="s">
        <v>5</v>
      </c>
      <c r="C113" t="s">
        <v>11</v>
      </c>
      <c r="D113">
        <v>1991</v>
      </c>
      <c r="E113">
        <f t="shared" si="3"/>
        <v>23</v>
      </c>
    </row>
    <row r="114" spans="1:5" x14ac:dyDescent="0.3">
      <c r="A114" s="1">
        <v>45680</v>
      </c>
      <c r="B114" t="s">
        <v>6</v>
      </c>
      <c r="C114" t="s">
        <v>9</v>
      </c>
      <c r="D114">
        <v>2054</v>
      </c>
      <c r="E114">
        <f t="shared" si="3"/>
        <v>23</v>
      </c>
    </row>
    <row r="115" spans="1:5" x14ac:dyDescent="0.3">
      <c r="A115" s="1">
        <v>45680</v>
      </c>
      <c r="B115" t="s">
        <v>7</v>
      </c>
      <c r="C115" t="s">
        <v>11</v>
      </c>
      <c r="D115">
        <v>3787</v>
      </c>
      <c r="E115">
        <f t="shared" si="3"/>
        <v>23</v>
      </c>
    </row>
    <row r="116" spans="1:5" x14ac:dyDescent="0.3">
      <c r="A116" s="1">
        <v>45680</v>
      </c>
      <c r="B116" t="s">
        <v>8</v>
      </c>
      <c r="C116" t="s">
        <v>10</v>
      </c>
      <c r="D116">
        <v>1856</v>
      </c>
      <c r="E116">
        <f t="shared" si="3"/>
        <v>23</v>
      </c>
    </row>
    <row r="117" spans="1:5" x14ac:dyDescent="0.3">
      <c r="A117" s="1">
        <v>45681</v>
      </c>
      <c r="B117" t="s">
        <v>4</v>
      </c>
      <c r="C117" t="s">
        <v>9</v>
      </c>
      <c r="D117">
        <v>529</v>
      </c>
      <c r="E117">
        <f t="shared" si="3"/>
        <v>24</v>
      </c>
    </row>
    <row r="118" spans="1:5" x14ac:dyDescent="0.3">
      <c r="A118" s="1">
        <v>45681</v>
      </c>
      <c r="B118" t="s">
        <v>5</v>
      </c>
      <c r="C118" t="s">
        <v>12</v>
      </c>
      <c r="D118">
        <v>3081</v>
      </c>
      <c r="E118">
        <f t="shared" si="3"/>
        <v>24</v>
      </c>
    </row>
    <row r="119" spans="1:5" x14ac:dyDescent="0.3">
      <c r="A119" s="1">
        <v>45681</v>
      </c>
      <c r="B119" t="s">
        <v>6</v>
      </c>
      <c r="C119" t="s">
        <v>10</v>
      </c>
      <c r="D119">
        <v>4634</v>
      </c>
      <c r="E119">
        <f t="shared" si="3"/>
        <v>24</v>
      </c>
    </row>
    <row r="120" spans="1:5" x14ac:dyDescent="0.3">
      <c r="A120" s="1">
        <v>45681</v>
      </c>
      <c r="B120" t="s">
        <v>7</v>
      </c>
      <c r="C120" t="s">
        <v>12</v>
      </c>
      <c r="D120">
        <v>3327</v>
      </c>
      <c r="E120">
        <f t="shared" si="3"/>
        <v>24</v>
      </c>
    </row>
    <row r="121" spans="1:5" x14ac:dyDescent="0.3">
      <c r="A121" s="1">
        <v>45681</v>
      </c>
      <c r="B121" t="s">
        <v>8</v>
      </c>
      <c r="C121" t="s">
        <v>13</v>
      </c>
      <c r="D121">
        <v>2683</v>
      </c>
      <c r="E121">
        <f t="shared" si="3"/>
        <v>24</v>
      </c>
    </row>
    <row r="122" spans="1:5" x14ac:dyDescent="0.3">
      <c r="A122" s="1">
        <v>45682</v>
      </c>
      <c r="B122" t="s">
        <v>4</v>
      </c>
      <c r="C122" t="s">
        <v>13</v>
      </c>
      <c r="D122">
        <v>3933</v>
      </c>
      <c r="E122">
        <f t="shared" si="3"/>
        <v>25</v>
      </c>
    </row>
    <row r="123" spans="1:5" x14ac:dyDescent="0.3">
      <c r="A123" s="1">
        <v>45682</v>
      </c>
      <c r="B123" t="s">
        <v>5</v>
      </c>
      <c r="C123" t="s">
        <v>13</v>
      </c>
      <c r="D123">
        <v>3691</v>
      </c>
      <c r="E123">
        <f t="shared" si="3"/>
        <v>25</v>
      </c>
    </row>
    <row r="124" spans="1:5" x14ac:dyDescent="0.3">
      <c r="A124" s="1">
        <v>45682</v>
      </c>
      <c r="B124" t="s">
        <v>6</v>
      </c>
      <c r="C124" t="s">
        <v>11</v>
      </c>
      <c r="D124">
        <v>2067</v>
      </c>
      <c r="E124">
        <f t="shared" si="3"/>
        <v>25</v>
      </c>
    </row>
    <row r="125" spans="1:5" x14ac:dyDescent="0.3">
      <c r="A125" s="1">
        <v>45682</v>
      </c>
      <c r="B125" t="s">
        <v>7</v>
      </c>
      <c r="C125" t="s">
        <v>13</v>
      </c>
      <c r="D125">
        <v>1399</v>
      </c>
      <c r="E125">
        <f t="shared" si="3"/>
        <v>25</v>
      </c>
    </row>
    <row r="126" spans="1:5" x14ac:dyDescent="0.3">
      <c r="A126" s="1">
        <v>45682</v>
      </c>
      <c r="B126" t="s">
        <v>8</v>
      </c>
      <c r="C126" t="s">
        <v>10</v>
      </c>
      <c r="D126">
        <v>1945</v>
      </c>
      <c r="E126">
        <f t="shared" si="3"/>
        <v>25</v>
      </c>
    </row>
    <row r="127" spans="1:5" x14ac:dyDescent="0.3">
      <c r="A127" s="1">
        <v>45683</v>
      </c>
      <c r="B127" t="s">
        <v>4</v>
      </c>
      <c r="C127" t="s">
        <v>12</v>
      </c>
      <c r="D127">
        <v>2239</v>
      </c>
      <c r="E127">
        <f t="shared" si="3"/>
        <v>26</v>
      </c>
    </row>
    <row r="128" spans="1:5" x14ac:dyDescent="0.3">
      <c r="A128" s="1">
        <v>45683</v>
      </c>
      <c r="B128" t="s">
        <v>5</v>
      </c>
      <c r="C128" t="s">
        <v>13</v>
      </c>
      <c r="D128">
        <v>2759</v>
      </c>
      <c r="E128">
        <f t="shared" si="3"/>
        <v>26</v>
      </c>
    </row>
    <row r="129" spans="1:5" x14ac:dyDescent="0.3">
      <c r="A129" s="1">
        <v>45683</v>
      </c>
      <c r="B129" t="s">
        <v>6</v>
      </c>
      <c r="C129" t="s">
        <v>13</v>
      </c>
      <c r="D129">
        <v>2574</v>
      </c>
      <c r="E129">
        <f t="shared" si="3"/>
        <v>26</v>
      </c>
    </row>
    <row r="130" spans="1:5" x14ac:dyDescent="0.3">
      <c r="A130" s="1">
        <v>45683</v>
      </c>
      <c r="B130" t="s">
        <v>7</v>
      </c>
      <c r="C130" t="s">
        <v>11</v>
      </c>
      <c r="D130">
        <v>2270</v>
      </c>
      <c r="E130">
        <f t="shared" ref="E130:E151" si="4">DAY(A130)</f>
        <v>26</v>
      </c>
    </row>
    <row r="131" spans="1:5" x14ac:dyDescent="0.3">
      <c r="A131" s="1">
        <v>45683</v>
      </c>
      <c r="B131" t="s">
        <v>8</v>
      </c>
      <c r="C131" t="s">
        <v>9</v>
      </c>
      <c r="D131">
        <v>3590</v>
      </c>
      <c r="E131">
        <f t="shared" si="4"/>
        <v>26</v>
      </c>
    </row>
    <row r="132" spans="1:5" x14ac:dyDescent="0.3">
      <c r="A132" s="1">
        <v>45684</v>
      </c>
      <c r="B132" t="s">
        <v>4</v>
      </c>
      <c r="C132" t="s">
        <v>10</v>
      </c>
      <c r="D132">
        <v>2960</v>
      </c>
      <c r="E132">
        <f t="shared" si="4"/>
        <v>27</v>
      </c>
    </row>
    <row r="133" spans="1:5" x14ac:dyDescent="0.3">
      <c r="A133" s="1">
        <v>45684</v>
      </c>
      <c r="B133" t="s">
        <v>5</v>
      </c>
      <c r="C133" t="s">
        <v>9</v>
      </c>
      <c r="D133">
        <v>2044</v>
      </c>
      <c r="E133">
        <f t="shared" si="4"/>
        <v>27</v>
      </c>
    </row>
    <row r="134" spans="1:5" x14ac:dyDescent="0.3">
      <c r="A134" s="1">
        <v>45684</v>
      </c>
      <c r="B134" t="s">
        <v>6</v>
      </c>
      <c r="C134" t="s">
        <v>12</v>
      </c>
      <c r="D134">
        <v>654</v>
      </c>
      <c r="E134">
        <f t="shared" si="4"/>
        <v>27</v>
      </c>
    </row>
    <row r="135" spans="1:5" x14ac:dyDescent="0.3">
      <c r="A135" s="1">
        <v>45684</v>
      </c>
      <c r="B135" t="s">
        <v>7</v>
      </c>
      <c r="C135" t="s">
        <v>11</v>
      </c>
      <c r="D135">
        <v>3254</v>
      </c>
      <c r="E135">
        <f t="shared" si="4"/>
        <v>27</v>
      </c>
    </row>
    <row r="136" spans="1:5" x14ac:dyDescent="0.3">
      <c r="A136" s="1">
        <v>45684</v>
      </c>
      <c r="B136" t="s">
        <v>8</v>
      </c>
      <c r="C136" t="s">
        <v>13</v>
      </c>
      <c r="D136">
        <v>3219</v>
      </c>
      <c r="E136">
        <f t="shared" si="4"/>
        <v>27</v>
      </c>
    </row>
    <row r="137" spans="1:5" x14ac:dyDescent="0.3">
      <c r="A137" s="1">
        <v>45685</v>
      </c>
      <c r="B137" t="s">
        <v>4</v>
      </c>
      <c r="C137" t="s">
        <v>10</v>
      </c>
      <c r="D137">
        <v>1292</v>
      </c>
      <c r="E137">
        <f t="shared" si="4"/>
        <v>28</v>
      </c>
    </row>
    <row r="138" spans="1:5" x14ac:dyDescent="0.3">
      <c r="A138" s="1">
        <v>45685</v>
      </c>
      <c r="B138" t="s">
        <v>5</v>
      </c>
      <c r="C138" t="s">
        <v>9</v>
      </c>
      <c r="D138">
        <v>1850</v>
      </c>
      <c r="E138">
        <f t="shared" si="4"/>
        <v>28</v>
      </c>
    </row>
    <row r="139" spans="1:5" x14ac:dyDescent="0.3">
      <c r="A139" s="1">
        <v>45685</v>
      </c>
      <c r="B139" t="s">
        <v>6</v>
      </c>
      <c r="C139" t="s">
        <v>12</v>
      </c>
      <c r="D139">
        <v>901</v>
      </c>
      <c r="E139">
        <f t="shared" si="4"/>
        <v>28</v>
      </c>
    </row>
    <row r="140" spans="1:5" x14ac:dyDescent="0.3">
      <c r="A140" s="1">
        <v>45685</v>
      </c>
      <c r="B140" t="s">
        <v>7</v>
      </c>
      <c r="C140" t="s">
        <v>10</v>
      </c>
      <c r="D140">
        <v>2384</v>
      </c>
      <c r="E140">
        <f t="shared" si="4"/>
        <v>28</v>
      </c>
    </row>
    <row r="141" spans="1:5" x14ac:dyDescent="0.3">
      <c r="A141" s="1">
        <v>45685</v>
      </c>
      <c r="B141" t="s">
        <v>8</v>
      </c>
      <c r="C141" t="s">
        <v>10</v>
      </c>
      <c r="D141">
        <v>3926</v>
      </c>
      <c r="E141">
        <f t="shared" si="4"/>
        <v>28</v>
      </c>
    </row>
    <row r="142" spans="1:5" x14ac:dyDescent="0.3">
      <c r="A142" s="1">
        <v>45686</v>
      </c>
      <c r="B142" t="s">
        <v>4</v>
      </c>
      <c r="C142" t="s">
        <v>10</v>
      </c>
      <c r="D142">
        <v>2042</v>
      </c>
      <c r="E142">
        <f t="shared" si="4"/>
        <v>29</v>
      </c>
    </row>
    <row r="143" spans="1:5" x14ac:dyDescent="0.3">
      <c r="A143" s="1">
        <v>45686</v>
      </c>
      <c r="B143" t="s">
        <v>5</v>
      </c>
      <c r="C143" t="s">
        <v>10</v>
      </c>
      <c r="D143">
        <v>4444</v>
      </c>
      <c r="E143">
        <f t="shared" si="4"/>
        <v>29</v>
      </c>
    </row>
    <row r="144" spans="1:5" x14ac:dyDescent="0.3">
      <c r="A144" s="1">
        <v>45686</v>
      </c>
      <c r="B144" t="s">
        <v>6</v>
      </c>
      <c r="C144" t="s">
        <v>10</v>
      </c>
      <c r="D144">
        <v>2832</v>
      </c>
      <c r="E144">
        <f t="shared" si="4"/>
        <v>29</v>
      </c>
    </row>
    <row r="145" spans="1:5" x14ac:dyDescent="0.3">
      <c r="A145" s="1">
        <v>45686</v>
      </c>
      <c r="B145" t="s">
        <v>7</v>
      </c>
      <c r="C145" t="s">
        <v>12</v>
      </c>
      <c r="D145">
        <v>2023</v>
      </c>
      <c r="E145">
        <f t="shared" si="4"/>
        <v>29</v>
      </c>
    </row>
    <row r="146" spans="1:5" x14ac:dyDescent="0.3">
      <c r="A146" s="1">
        <v>45686</v>
      </c>
      <c r="B146" t="s">
        <v>8</v>
      </c>
      <c r="C146" t="s">
        <v>12</v>
      </c>
      <c r="D146">
        <v>1233</v>
      </c>
      <c r="E146">
        <f t="shared" si="4"/>
        <v>29</v>
      </c>
    </row>
    <row r="147" spans="1:5" x14ac:dyDescent="0.3">
      <c r="A147" s="1">
        <v>45687</v>
      </c>
      <c r="B147" t="s">
        <v>4</v>
      </c>
      <c r="C147" t="s">
        <v>9</v>
      </c>
      <c r="D147">
        <v>1253</v>
      </c>
      <c r="E147">
        <f t="shared" si="4"/>
        <v>30</v>
      </c>
    </row>
    <row r="148" spans="1:5" x14ac:dyDescent="0.3">
      <c r="A148" s="1">
        <v>45687</v>
      </c>
      <c r="B148" t="s">
        <v>5</v>
      </c>
      <c r="C148" t="s">
        <v>12</v>
      </c>
      <c r="D148">
        <v>849</v>
      </c>
      <c r="E148">
        <f t="shared" si="4"/>
        <v>30</v>
      </c>
    </row>
    <row r="149" spans="1:5" x14ac:dyDescent="0.3">
      <c r="A149" s="1">
        <v>45687</v>
      </c>
      <c r="B149" t="s">
        <v>6</v>
      </c>
      <c r="C149" t="s">
        <v>13</v>
      </c>
      <c r="D149">
        <v>3624</v>
      </c>
      <c r="E149">
        <f t="shared" si="4"/>
        <v>30</v>
      </c>
    </row>
    <row r="150" spans="1:5" x14ac:dyDescent="0.3">
      <c r="A150" s="1">
        <v>45687</v>
      </c>
      <c r="B150" t="s">
        <v>7</v>
      </c>
      <c r="C150" t="s">
        <v>11</v>
      </c>
      <c r="D150">
        <v>3215</v>
      </c>
      <c r="E150">
        <f t="shared" si="4"/>
        <v>30</v>
      </c>
    </row>
    <row r="151" spans="1:5" x14ac:dyDescent="0.3">
      <c r="A151" s="1">
        <v>45687</v>
      </c>
      <c r="B151" t="s">
        <v>8</v>
      </c>
      <c r="C151" t="s">
        <v>11</v>
      </c>
      <c r="D151">
        <v>4691</v>
      </c>
      <c r="E151">
        <f t="shared" si="4"/>
        <v>30</v>
      </c>
    </row>
  </sheetData>
  <pageMargins left="0.7" right="0.7" top="0.75" bottom="0.75" header="0.3" footer="0.3"/>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FF2E-2705-414A-AAB5-E511FA607DB8}">
  <sheetPr>
    <tabColor theme="5"/>
  </sheetPr>
  <dimension ref="A1"/>
  <sheetViews>
    <sheetView showGridLines="0" tabSelected="1" zoomScale="75" zoomScaleNormal="75" workbookViewId="0">
      <selection activeCell="R38" sqref="R38"/>
    </sheetView>
  </sheetViews>
  <sheetFormatPr defaultRowHeight="14.4" x14ac:dyDescent="0.3"/>
  <sheetData/>
  <pageMargins left="0.7" right="0.7" top="0.75" bottom="0.75" header="0.3" footer="0.3"/>
  <pageSetup orientation="portrait" horizontalDpi="300" verticalDpi="300"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mohamedashrafdesoki@gmail.com</cp:lastModifiedBy>
  <dcterms:created xsi:type="dcterms:W3CDTF">2025-08-26T21:34:32Z</dcterms:created>
  <dcterms:modified xsi:type="dcterms:W3CDTF">2025-11-01T04:16:29Z</dcterms:modified>
</cp:coreProperties>
</file>