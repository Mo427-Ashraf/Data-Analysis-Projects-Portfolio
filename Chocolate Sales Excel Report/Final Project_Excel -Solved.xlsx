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xr:revisionPtr revIDLastSave="0" documentId="13_ncr:1_{B6F276F8-26A2-4F80-8FC7-9ECCB42AEB6A}" xr6:coauthVersionLast="47" xr6:coauthVersionMax="47" xr10:uidLastSave="{00000000-0000-0000-0000-000000000000}"/>
  <bookViews>
    <workbookView xWindow="-108" yWindow="-108" windowWidth="23256" windowHeight="12576" tabRatio="630" firstSheet="1" activeTab="6" xr2:uid="{00000000-000D-0000-FFFF-FFFF00000000}"/>
  </bookViews>
  <sheets>
    <sheet name="Sheet3" sheetId="3" state="hidden" r:id="rId1"/>
    <sheet name="Part 1" sheetId="10" r:id="rId2"/>
    <sheet name="Part 2" sheetId="11" r:id="rId3"/>
    <sheet name="Data" sheetId="8" r:id="rId4"/>
    <sheet name="VLOOKUP" sheetId="5" r:id="rId5"/>
    <sheet name="LOGICAL FUNCTIONS" sheetId="9" r:id="rId6"/>
    <sheet name="Pivot Tables Analysis" sheetId="12" r:id="rId7"/>
    <sheet name="Dashboard" sheetId="13" r:id="rId8"/>
  </sheets>
  <definedNames>
    <definedName name="channel">Data!$F$2:$F$108</definedName>
    <definedName name="month">Data!$H$2:$H$108</definedName>
    <definedName name="month_sold">Data!$H$2:$H$108</definedName>
    <definedName name="product">Data!$E$2:$E$108</definedName>
    <definedName name="quantity">Data!$I$2:$I$108</definedName>
    <definedName name="revenue">Data!$K$2:$K$108</definedName>
    <definedName name="SALES_CHANNEL">Data!$F$2:$F$108</definedName>
    <definedName name="Slicer_Country">#N/A</definedName>
    <definedName name="Slicer_Months__Date_Sold">#N/A</definedName>
    <definedName name="Slicer_Product">#N/A</definedName>
    <definedName name="Slicer_Sales_Channel">#N/A</definedName>
    <definedName name="zz">'Part 1'!$G$2:$G$33</definedName>
  </definedNames>
  <calcPr calcId="191029"/>
  <pivotCaches>
    <pivotCache cacheId="20" r:id="rId9"/>
    <pivotCache cacheId="2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5" i="12" l="1"/>
  <c r="B5" i="12"/>
  <c r="C5" i="12"/>
  <c r="D5" i="12"/>
  <c r="A6" i="12"/>
  <c r="B6" i="12"/>
  <c r="C6" i="12"/>
  <c r="D6" i="12"/>
  <c r="J5" i="5"/>
  <c r="J6" i="5"/>
  <c r="J7" i="5"/>
  <c r="J8" i="5"/>
  <c r="J9" i="5"/>
  <c r="J10" i="5"/>
  <c r="J11" i="5"/>
  <c r="J4" i="5"/>
  <c r="I5" i="5"/>
  <c r="I6" i="5"/>
  <c r="I7" i="5"/>
  <c r="I8" i="5"/>
  <c r="I9" i="5"/>
  <c r="I10" i="5"/>
  <c r="I11" i="5"/>
  <c r="I4" i="5"/>
  <c r="H58" i="9"/>
  <c r="H59" i="9"/>
  <c r="H60" i="9"/>
  <c r="H61" i="9"/>
  <c r="H57" i="9"/>
  <c r="H37" i="9"/>
  <c r="H49" i="9"/>
  <c r="H50" i="9"/>
  <c r="H51" i="9"/>
  <c r="H52" i="9"/>
  <c r="H48" i="9"/>
  <c r="H38" i="9"/>
  <c r="H39" i="9"/>
  <c r="H40" i="9"/>
  <c r="H41" i="9"/>
  <c r="G11" i="9"/>
  <c r="G12" i="9"/>
  <c r="G10" i="9"/>
  <c r="G6" i="9"/>
  <c r="G7" i="9"/>
  <c r="G5" i="9"/>
  <c r="D6" i="9"/>
  <c r="D7" i="9"/>
  <c r="D8" i="9"/>
  <c r="D9" i="9"/>
  <c r="D10" i="9"/>
  <c r="D11" i="9"/>
  <c r="D12" i="9"/>
  <c r="D13" i="9"/>
  <c r="D14" i="9"/>
  <c r="D15" i="9"/>
  <c r="D5" i="9"/>
  <c r="O9" i="11" l="1"/>
  <c r="O8" i="11"/>
  <c r="O7" i="11"/>
  <c r="G5" i="11"/>
  <c r="H5" i="11"/>
  <c r="I5" i="11"/>
  <c r="J5" i="11"/>
  <c r="K5" i="11"/>
  <c r="G6" i="11"/>
  <c r="H6" i="11"/>
  <c r="I6" i="11"/>
  <c r="J6" i="11"/>
  <c r="K6" i="11"/>
  <c r="G7" i="11"/>
  <c r="H7" i="11"/>
  <c r="I7" i="11"/>
  <c r="J7" i="11"/>
  <c r="K7" i="11"/>
  <c r="G8" i="11"/>
  <c r="H8" i="11"/>
  <c r="I8" i="11"/>
  <c r="J8" i="11"/>
  <c r="K8" i="11"/>
  <c r="G9" i="11"/>
  <c r="H9" i="11"/>
  <c r="I9" i="11"/>
  <c r="J9" i="11"/>
  <c r="K9" i="11"/>
  <c r="G10" i="11"/>
  <c r="H10" i="11"/>
  <c r="I10" i="11"/>
  <c r="J10" i="11"/>
  <c r="K10" i="11"/>
  <c r="G11" i="11"/>
  <c r="H11" i="11"/>
  <c r="I11" i="11"/>
  <c r="J11" i="11"/>
  <c r="K11" i="11"/>
  <c r="G12" i="11"/>
  <c r="H12" i="11"/>
  <c r="I12" i="11"/>
  <c r="J12" i="11"/>
  <c r="K12" i="11"/>
  <c r="G13" i="11"/>
  <c r="H13" i="11"/>
  <c r="I13" i="11"/>
  <c r="J13" i="11"/>
  <c r="K13" i="11"/>
  <c r="G14" i="11"/>
  <c r="H14" i="11"/>
  <c r="I14" i="11"/>
  <c r="J14" i="11"/>
  <c r="K14" i="11"/>
  <c r="F6" i="11"/>
  <c r="F7" i="11"/>
  <c r="F8" i="11"/>
  <c r="F9" i="11"/>
  <c r="F10" i="11"/>
  <c r="F11" i="11"/>
  <c r="F12" i="11"/>
  <c r="F13" i="11"/>
  <c r="F14" i="11"/>
  <c r="F5" i="1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I5" i="10"/>
  <c r="F2" i="10"/>
  <c r="K2" i="8"/>
  <c r="K108" i="8" l="1"/>
  <c r="H108" i="8"/>
  <c r="K107" i="8"/>
  <c r="H107" i="8"/>
  <c r="K106" i="8"/>
  <c r="H106" i="8"/>
  <c r="K105" i="8"/>
  <c r="H105" i="8"/>
  <c r="K104" i="8"/>
  <c r="H104" i="8"/>
  <c r="K103" i="8"/>
  <c r="H103" i="8"/>
  <c r="K102" i="8"/>
  <c r="H102" i="8"/>
  <c r="K101" i="8"/>
  <c r="H101" i="8"/>
  <c r="K100" i="8"/>
  <c r="H100" i="8"/>
  <c r="K99" i="8"/>
  <c r="H99" i="8"/>
  <c r="K98" i="8"/>
  <c r="H98" i="8"/>
  <c r="K97" i="8"/>
  <c r="H97" i="8"/>
  <c r="K96" i="8"/>
  <c r="H96" i="8"/>
  <c r="K95" i="8"/>
  <c r="H95" i="8"/>
  <c r="K94" i="8"/>
  <c r="H94" i="8"/>
  <c r="K93" i="8"/>
  <c r="H93" i="8"/>
  <c r="K92" i="8"/>
  <c r="H92" i="8"/>
  <c r="K91" i="8"/>
  <c r="H91" i="8"/>
  <c r="K90" i="8"/>
  <c r="H90" i="8"/>
  <c r="K89" i="8"/>
  <c r="H89" i="8"/>
  <c r="K88" i="8"/>
  <c r="H88" i="8"/>
  <c r="K87" i="8"/>
  <c r="H87" i="8"/>
  <c r="K86" i="8"/>
  <c r="H86" i="8"/>
  <c r="K85" i="8"/>
  <c r="H85" i="8"/>
  <c r="K84" i="8"/>
  <c r="H84" i="8"/>
  <c r="K83" i="8"/>
  <c r="H83" i="8"/>
  <c r="K82" i="8"/>
  <c r="H82" i="8"/>
  <c r="K81" i="8"/>
  <c r="H81" i="8"/>
  <c r="K80" i="8"/>
  <c r="H80" i="8"/>
  <c r="K79" i="8"/>
  <c r="H79" i="8"/>
  <c r="K78" i="8"/>
  <c r="H78" i="8"/>
  <c r="K77" i="8"/>
  <c r="H77" i="8"/>
  <c r="K76" i="8"/>
  <c r="H76" i="8"/>
  <c r="K75" i="8"/>
  <c r="H75" i="8"/>
  <c r="K74" i="8"/>
  <c r="H74" i="8"/>
  <c r="K73" i="8"/>
  <c r="H73" i="8"/>
  <c r="K72" i="8"/>
  <c r="H72" i="8"/>
  <c r="K71" i="8"/>
  <c r="H71" i="8"/>
  <c r="K70" i="8"/>
  <c r="H70" i="8"/>
  <c r="K69" i="8"/>
  <c r="H69" i="8"/>
  <c r="K68" i="8"/>
  <c r="H68" i="8"/>
  <c r="K67" i="8"/>
  <c r="H67" i="8"/>
  <c r="K66" i="8"/>
  <c r="H66" i="8"/>
  <c r="K65" i="8"/>
  <c r="H65" i="8"/>
  <c r="K64" i="8"/>
  <c r="H64" i="8"/>
  <c r="K63" i="8"/>
  <c r="H63" i="8"/>
  <c r="K62" i="8"/>
  <c r="H62" i="8"/>
  <c r="K61" i="8"/>
  <c r="H61" i="8"/>
  <c r="K60" i="8"/>
  <c r="H60" i="8"/>
  <c r="K59" i="8"/>
  <c r="H59" i="8"/>
  <c r="K58" i="8"/>
  <c r="H58" i="8"/>
  <c r="K57" i="8"/>
  <c r="H57" i="8"/>
  <c r="K56" i="8"/>
  <c r="H56" i="8"/>
  <c r="K55" i="8"/>
  <c r="H55" i="8"/>
  <c r="K54" i="8"/>
  <c r="H54" i="8"/>
  <c r="K53" i="8"/>
  <c r="H53" i="8"/>
  <c r="K52" i="8"/>
  <c r="H52" i="8"/>
  <c r="K51" i="8"/>
  <c r="H51" i="8"/>
  <c r="K50" i="8"/>
  <c r="H50" i="8"/>
  <c r="K49" i="8"/>
  <c r="H49" i="8"/>
  <c r="K48" i="8"/>
  <c r="H48" i="8"/>
  <c r="K47" i="8"/>
  <c r="H47" i="8"/>
  <c r="K46" i="8"/>
  <c r="H46" i="8"/>
  <c r="K45" i="8"/>
  <c r="H45" i="8"/>
  <c r="K44" i="8"/>
  <c r="H44" i="8"/>
  <c r="K43" i="8"/>
  <c r="H43" i="8"/>
  <c r="K42" i="8"/>
  <c r="H42" i="8"/>
  <c r="K41" i="8"/>
  <c r="H41" i="8"/>
  <c r="K40" i="8"/>
  <c r="H40" i="8"/>
  <c r="K39" i="8"/>
  <c r="H39" i="8"/>
  <c r="K38" i="8"/>
  <c r="H38" i="8"/>
  <c r="K37" i="8"/>
  <c r="H37" i="8"/>
  <c r="K36" i="8"/>
  <c r="H36" i="8"/>
  <c r="K35" i="8"/>
  <c r="H35" i="8"/>
  <c r="K34" i="8"/>
  <c r="H34" i="8"/>
  <c r="K33" i="8"/>
  <c r="H33" i="8"/>
  <c r="K32" i="8"/>
  <c r="H32" i="8"/>
  <c r="K31" i="8"/>
  <c r="H31" i="8"/>
  <c r="K30" i="8"/>
  <c r="H30" i="8"/>
  <c r="K29" i="8"/>
  <c r="H29" i="8"/>
  <c r="K28" i="8"/>
  <c r="H28" i="8"/>
  <c r="K27" i="8"/>
  <c r="H27" i="8"/>
  <c r="K26" i="8"/>
  <c r="H26" i="8"/>
  <c r="K25" i="8"/>
  <c r="H25" i="8"/>
  <c r="K24" i="8"/>
  <c r="H24" i="8"/>
  <c r="K23" i="8"/>
  <c r="H23" i="8"/>
  <c r="K22" i="8"/>
  <c r="H22" i="8"/>
  <c r="K21" i="8"/>
  <c r="H21" i="8"/>
  <c r="K20" i="8"/>
  <c r="H20" i="8"/>
  <c r="K19" i="8"/>
  <c r="H19" i="8"/>
  <c r="K18" i="8"/>
  <c r="H18" i="8"/>
  <c r="K17" i="8"/>
  <c r="H17" i="8"/>
  <c r="K16" i="8"/>
  <c r="H16" i="8"/>
  <c r="K15" i="8"/>
  <c r="H15" i="8"/>
  <c r="K14" i="8"/>
  <c r="H14" i="8"/>
  <c r="K13" i="8"/>
  <c r="H13" i="8"/>
  <c r="K12" i="8"/>
  <c r="H12" i="8"/>
  <c r="K11" i="8"/>
  <c r="H11" i="8"/>
  <c r="K10" i="8"/>
  <c r="H10" i="8"/>
  <c r="K9" i="8"/>
  <c r="H9" i="8"/>
  <c r="K8" i="8"/>
  <c r="H8" i="8"/>
  <c r="K7" i="8"/>
  <c r="H7" i="8"/>
  <c r="K6" i="8"/>
  <c r="H6" i="8"/>
  <c r="K5" i="8"/>
  <c r="H5" i="8"/>
  <c r="K4" i="8"/>
  <c r="H4" i="8"/>
  <c r="K3" i="8"/>
  <c r="I15" i="9" s="1"/>
  <c r="H3" i="8"/>
  <c r="H2" i="8"/>
  <c r="H23" i="9" l="1"/>
  <c r="D28" i="9"/>
  <c r="H20" i="9"/>
  <c r="J15" i="9"/>
  <c r="G15" i="9"/>
  <c r="H15" i="9"/>
</calcChain>
</file>

<file path=xl/sharedStrings.xml><?xml version="1.0" encoding="utf-8"?>
<sst xmlns="http://schemas.openxmlformats.org/spreadsheetml/2006/main" count="1511" uniqueCount="846">
  <si>
    <t> Thomas Müller</t>
  </si>
  <si>
    <t> Wesley Sneijder</t>
  </si>
  <si>
    <t> David Villa</t>
  </si>
  <si>
    <t> Diego Forlán</t>
  </si>
  <si>
    <t> Gonzalo Higuaín</t>
  </si>
  <si>
    <t> Miroslav Klose</t>
  </si>
  <si>
    <t> Róbert Vittek</t>
  </si>
  <si>
    <t> Luís Fabiano</t>
  </si>
  <si>
    <t> Asamoah Gyan</t>
  </si>
  <si>
    <t> Landon Donovan</t>
  </si>
  <si>
    <t> Luis Suárez</t>
  </si>
  <si>
    <t> Carlos Tevez</t>
  </si>
  <si>
    <t> Brett Holman</t>
  </si>
  <si>
    <t> Elano</t>
  </si>
  <si>
    <t> Robinho</t>
  </si>
  <si>
    <t> Samuel Eto'o</t>
  </si>
  <si>
    <t> Lukas Podolski</t>
  </si>
  <si>
    <t> Keisuke Honda</t>
  </si>
  <si>
    <t> Javier Hernández</t>
  </si>
  <si>
    <t> Arjen Robben</t>
  </si>
  <si>
    <t> Kalu Uche</t>
  </si>
  <si>
    <t> Tiago</t>
  </si>
  <si>
    <t> Lee Chung-yong</t>
  </si>
  <si>
    <t> Lee Jung-soo</t>
  </si>
  <si>
    <t> Andrés Iniesta</t>
  </si>
  <si>
    <t> Martín Demichelis</t>
  </si>
  <si>
    <t> Gabriel Heinze</t>
  </si>
  <si>
    <t> Martín Palermo</t>
  </si>
  <si>
    <t> Tim Cahill</t>
  </si>
  <si>
    <t> Juan</t>
  </si>
  <si>
    <t> Maicon</t>
  </si>
  <si>
    <t> Jean Beausejour</t>
  </si>
  <si>
    <t> Mark González</t>
  </si>
  <si>
    <t> Rodrigo Millar</t>
  </si>
  <si>
    <t> Nicklas Bendtner</t>
  </si>
  <si>
    <t> Dennis Rommedahl</t>
  </si>
  <si>
    <t> Jon Dahl Tomasson</t>
  </si>
  <si>
    <t> Jermain Defoe</t>
  </si>
  <si>
    <t> Steven Gerrard</t>
  </si>
  <si>
    <t> Matthew Upson</t>
  </si>
  <si>
    <t> Florent Malouda</t>
  </si>
  <si>
    <t> Cacau</t>
  </si>
  <si>
    <t> Arne Friedrich</t>
  </si>
  <si>
    <t> Marcell Jansen</t>
  </si>
  <si>
    <t> Sami Khedira</t>
  </si>
  <si>
    <t> Mesut Özil</t>
  </si>
  <si>
    <t> Kevin-Prince Boateng</t>
  </si>
  <si>
    <t> Sulley Muntari</t>
  </si>
  <si>
    <t> Dimitris Salpingidis</t>
  </si>
  <si>
    <t> Vasilis Torosidis</t>
  </si>
  <si>
    <t> Daniele De Rossi</t>
  </si>
  <si>
    <t> Antonio Di Natale</t>
  </si>
  <si>
    <t> Vincenzo Iaquinta</t>
  </si>
  <si>
    <t> Fabio Quagliarella</t>
  </si>
  <si>
    <t> Didier Drogba</t>
  </si>
  <si>
    <t> Salomon Kalou</t>
  </si>
  <si>
    <t> Romaric</t>
  </si>
  <si>
    <t> Yaya Touré</t>
  </si>
  <si>
    <t> Yasuhito Endō</t>
  </si>
  <si>
    <t> Shinji Okazaki</t>
  </si>
  <si>
    <t> Cuauhtémoc Blanco</t>
  </si>
  <si>
    <t> Rafael Márquez</t>
  </si>
  <si>
    <t> Klaas-Jan Huntelaar</t>
  </si>
  <si>
    <t> Dirk Kuyt</t>
  </si>
  <si>
    <t> Giovanni van Bronckhorst</t>
  </si>
  <si>
    <t> Robin van Persie</t>
  </si>
  <si>
    <t> Winston Reid</t>
  </si>
  <si>
    <t> Shane Smeltz</t>
  </si>
  <si>
    <t> Yakubu Aiyegbeni</t>
  </si>
  <si>
    <t> Ji Yun-nam</t>
  </si>
  <si>
    <t> Antolín Alcaraz</t>
  </si>
  <si>
    <t> Cristian Riveros</t>
  </si>
  <si>
    <t> Enrique Vera</t>
  </si>
  <si>
    <t> Hugo Almeida</t>
  </si>
  <si>
    <t> Cristiano Ronaldo</t>
  </si>
  <si>
    <t> Liédson</t>
  </si>
  <si>
    <t> Raul Meireles</t>
  </si>
  <si>
    <t> Simão</t>
  </si>
  <si>
    <t> Milan Jovanović</t>
  </si>
  <si>
    <t> Marko Pantelić</t>
  </si>
  <si>
    <t> Kamil Kopúnek</t>
  </si>
  <si>
    <t> Valter Birsa</t>
  </si>
  <si>
    <t> Robert Koren</t>
  </si>
  <si>
    <t> Zlatan Ljubijankić</t>
  </si>
  <si>
    <t> Bongani Khumalo</t>
  </si>
  <si>
    <t> Katlego Mphela</t>
  </si>
  <si>
    <t> Siphiwe Tshabalala</t>
  </si>
  <si>
    <t> Park Chu-young</t>
  </si>
  <si>
    <t> Park Ji-sung</t>
  </si>
  <si>
    <t> Carles Puyol</t>
  </si>
  <si>
    <t> Gelson Fernandes</t>
  </si>
  <si>
    <t> Michael Bradley</t>
  </si>
  <si>
    <t> Clint Dempsey</t>
  </si>
  <si>
    <t> Edinson Cavani</t>
  </si>
  <si>
    <t> Álvaro Pereira</t>
  </si>
  <si>
    <t> Maxi Pereira</t>
  </si>
  <si>
    <t> Daniel Agger</t>
  </si>
  <si>
    <t> Hernán Crespo</t>
  </si>
  <si>
    <t> Maxi Rodríguez</t>
  </si>
  <si>
    <t> Ronaldo</t>
  </si>
  <si>
    <t> Thierry Henry</t>
  </si>
  <si>
    <t> Zinedine Zidane</t>
  </si>
  <si>
    <t> Fernando Torres</t>
  </si>
  <si>
    <t> Adriano</t>
  </si>
  <si>
    <t> Paulo Wanchope</t>
  </si>
  <si>
    <t> Tomáš Rosický</t>
  </si>
  <si>
    <t> Agustín Delgado</t>
  </si>
  <si>
    <t> Carlos Tenorio</t>
  </si>
  <si>
    <t> Patrick Vieira</t>
  </si>
  <si>
    <t> Bastian Schweinsteiger</t>
  </si>
  <si>
    <t> Marco Materazzi</t>
  </si>
  <si>
    <t> Luca Toni</t>
  </si>
  <si>
    <t> Aruna Dindane</t>
  </si>
  <si>
    <t> Omar Bravo</t>
  </si>
  <si>
    <t> Bartosz Bosacki</t>
  </si>
  <si>
    <t> Maniche</t>
  </si>
  <si>
    <t> Alexander Frei</t>
  </si>
  <si>
    <t> Andriy Shevchenko</t>
  </si>
  <si>
    <t> Flávio</t>
  </si>
  <si>
    <t> Roberto Ayala</t>
  </si>
  <si>
    <t> Esteban Cambiasso</t>
  </si>
  <si>
    <t> Lionel Messi</t>
  </si>
  <si>
    <t> Javier Saviola</t>
  </si>
  <si>
    <t> John Aloisi</t>
  </si>
  <si>
    <t> Harry Kewell</t>
  </si>
  <si>
    <t> Craig Moore</t>
  </si>
  <si>
    <t> Fred</t>
  </si>
  <si>
    <t> Gilberto</t>
  </si>
  <si>
    <t> Juninho</t>
  </si>
  <si>
    <t> Kaká</t>
  </si>
  <si>
    <t> Zé Roberto</t>
  </si>
  <si>
    <t> Rónald Gómez</t>
  </si>
  <si>
    <t> Niko Kovač</t>
  </si>
  <si>
    <t> Darijo Srna</t>
  </si>
  <si>
    <t> Jan Koller</t>
  </si>
  <si>
    <t> Iván Kaviedes</t>
  </si>
  <si>
    <t> David Beckham</t>
  </si>
  <si>
    <t> Joe Cole</t>
  </si>
  <si>
    <t> Peter Crouch</t>
  </si>
  <si>
    <t> Franck Ribéry</t>
  </si>
  <si>
    <t> Torsten Frings</t>
  </si>
  <si>
    <t> Philipp Lahm</t>
  </si>
  <si>
    <t> Oliver Neuville</t>
  </si>
  <si>
    <t> Stephen Appiah</t>
  </si>
  <si>
    <t> Haminu Draman</t>
  </si>
  <si>
    <t> Sohrab Bakhtiarizadeh</t>
  </si>
  <si>
    <t> Yahya Golmohammadi</t>
  </si>
  <si>
    <t> Alessandro Del Piero</t>
  </si>
  <si>
    <t> Alberto Gilardino</t>
  </si>
  <si>
    <t> Fabio Grosso</t>
  </si>
  <si>
    <t> Filippo Inzaghi</t>
  </si>
  <si>
    <t> Andrea Pirlo</t>
  </si>
  <si>
    <t> Francesco Totti</t>
  </si>
  <si>
    <t> Gianluca Zambrotta</t>
  </si>
  <si>
    <t> Bonaventure Kalou</t>
  </si>
  <si>
    <t> Bakari Koné</t>
  </si>
  <si>
    <t> Shunsuke Nakamura</t>
  </si>
  <si>
    <t> Keiji Tamada</t>
  </si>
  <si>
    <t> Francisco Fonseca</t>
  </si>
  <si>
    <t> Sinha</t>
  </si>
  <si>
    <t> Ruud van Nistelrooy</t>
  </si>
  <si>
    <t> Nelson Cuevas</t>
  </si>
  <si>
    <t> Deco</t>
  </si>
  <si>
    <t> Nuno Gomes</t>
  </si>
  <si>
    <t> Pauleta</t>
  </si>
  <si>
    <t> Sami Al-Jaber</t>
  </si>
  <si>
    <t> Yasser Al-Qahtani</t>
  </si>
  <si>
    <t> Saša Ilić</t>
  </si>
  <si>
    <t> Nikola Žigić</t>
  </si>
  <si>
    <t> Ahn Jung-hwan</t>
  </si>
  <si>
    <t> Lee Chun-soo</t>
  </si>
  <si>
    <t> Xabi Alonso</t>
  </si>
  <si>
    <t> Juanito</t>
  </si>
  <si>
    <t> Raúl</t>
  </si>
  <si>
    <t> Marcus Allbäck</t>
  </si>
  <si>
    <t> Henrik Larsson</t>
  </si>
  <si>
    <t> Fredrik Ljungberg</t>
  </si>
  <si>
    <t> Tranquillo Barnetta</t>
  </si>
  <si>
    <t> Philippe Senderos</t>
  </si>
  <si>
    <t> Mohamed Kader</t>
  </si>
  <si>
    <t> Radhi Jaïdi</t>
  </si>
  <si>
    <t> Ziad Jaziri</t>
  </si>
  <si>
    <t> Jawhar Mnari</t>
  </si>
  <si>
    <t> Maksym Kalynychenko</t>
  </si>
  <si>
    <t> Serhiy Rebrov</t>
  </si>
  <si>
    <t> Andriy Rusol</t>
  </si>
  <si>
    <t> Cristian Zaccardo</t>
  </si>
  <si>
    <t> Carlos Gamarra</t>
  </si>
  <si>
    <t> Petit</t>
  </si>
  <si>
    <t> Brent Sancho</t>
  </si>
  <si>
    <t> Rivaldo</t>
  </si>
  <si>
    <t> Christian Vieri</t>
  </si>
  <si>
    <t> Michael Ballack</t>
  </si>
  <si>
    <t> Marc Wilmots</t>
  </si>
  <si>
    <t> Robbie Keane</t>
  </si>
  <si>
    <t> Papa Bouba Diop</t>
  </si>
  <si>
    <t> Fernando Morientes</t>
  </si>
  <si>
    <t> İlhan Mansız</t>
  </si>
  <si>
    <t> Ronaldinho</t>
  </si>
  <si>
    <t> Michael Owen</t>
  </si>
  <si>
    <t> Junichi Inamoto</t>
  </si>
  <si>
    <t> Jared Borgetti</t>
  </si>
  <si>
    <t> Henri Camara</t>
  </si>
  <si>
    <t> Fernando Hierro</t>
  </si>
  <si>
    <t> Ümit Davala</t>
  </si>
  <si>
    <t> Hasan Şaş</t>
  </si>
  <si>
    <t> Brian McBride</t>
  </si>
  <si>
    <t> Gabriel Batistuta</t>
  </si>
  <si>
    <t> Wesley Sonck</t>
  </si>
  <si>
    <t> Peter Van Der Heyden</t>
  </si>
  <si>
    <t> Johan Walem</t>
  </si>
  <si>
    <t> Edmílson</t>
  </si>
  <si>
    <t> Júnior</t>
  </si>
  <si>
    <t> Roberto Carlos</t>
  </si>
  <si>
    <t> Patrick M'Boma</t>
  </si>
  <si>
    <t> Winston Parks</t>
  </si>
  <si>
    <t> Mauricio Wright</t>
  </si>
  <si>
    <t> Ivica Olić</t>
  </si>
  <si>
    <t> Milan Rapaić</t>
  </si>
  <si>
    <t> Édison Méndez</t>
  </si>
  <si>
    <t> Sol Campbell</t>
  </si>
  <si>
    <t> Rio Ferdinand</t>
  </si>
  <si>
    <t> Emile Heskey</t>
  </si>
  <si>
    <t> Oliver Bierhoff</t>
  </si>
  <si>
    <t> Marco Bode</t>
  </si>
  <si>
    <t> Carsten Jancker</t>
  </si>
  <si>
    <t> Thomas Linke</t>
  </si>
  <si>
    <t> Bernd Schneider</t>
  </si>
  <si>
    <t> Hiroaki Morishima</t>
  </si>
  <si>
    <t> Hidetoshi Nakata</t>
  </si>
  <si>
    <t> Takayuki Suzuki</t>
  </si>
  <si>
    <t> Gerardo Torrado</t>
  </si>
  <si>
    <t> Julius Aghahowa</t>
  </si>
  <si>
    <t> Francisco Arce</t>
  </si>
  <si>
    <t> Jorge Campos</t>
  </si>
  <si>
    <t> Roque Santa Cruz</t>
  </si>
  <si>
    <t> Paweł Kryszałowicz</t>
  </si>
  <si>
    <t> Emmanuel Olisadebe</t>
  </si>
  <si>
    <t> Marcin Żewłakow</t>
  </si>
  <si>
    <t> Beto</t>
  </si>
  <si>
    <t> Rui Costa</t>
  </si>
  <si>
    <t> Gary Breen</t>
  </si>
  <si>
    <t> Damien Duff</t>
  </si>
  <si>
    <t> Matt Holland</t>
  </si>
  <si>
    <t> Vladimir Beschastnykh</t>
  </si>
  <si>
    <t> Valeri Karpin</t>
  </si>
  <si>
    <t> Dmitri Sychev</t>
  </si>
  <si>
    <t> Yegor Titov</t>
  </si>
  <si>
    <t> Salif Diao</t>
  </si>
  <si>
    <t> Khalilou Fadiga</t>
  </si>
  <si>
    <t> Milenko Ačimovič</t>
  </si>
  <si>
    <t> Sebastjan Cimirotič</t>
  </si>
  <si>
    <t> Quinton Fortune</t>
  </si>
  <si>
    <t> Benni McCarthy</t>
  </si>
  <si>
    <t> Teboho Mokoena</t>
  </si>
  <si>
    <t> Siyabonga Nomvethe</t>
  </si>
  <si>
    <t> Lucas Radebe</t>
  </si>
  <si>
    <t> Hwang Sun-hong</t>
  </si>
  <si>
    <t> Lee Eul-yong</t>
  </si>
  <si>
    <t> Seol Ki-hyeon</t>
  </si>
  <si>
    <t> Song Chong-gug</t>
  </si>
  <si>
    <t> Yoo Sang-chul</t>
  </si>
  <si>
    <t> Gaizka Mendieta</t>
  </si>
  <si>
    <t> Juan Carlos Valerón</t>
  </si>
  <si>
    <t> Niclas Alexandersson</t>
  </si>
  <si>
    <t> Anders Svensson</t>
  </si>
  <si>
    <t> Raouf Bouzaiene</t>
  </si>
  <si>
    <t> Emre Belözoğlu</t>
  </si>
  <si>
    <t> Bülent Korkmaz</t>
  </si>
  <si>
    <t> Hakan Şükür</t>
  </si>
  <si>
    <t> Clint Mathis</t>
  </si>
  <si>
    <t> John O'Brien</t>
  </si>
  <si>
    <t> Richard Morales</t>
  </si>
  <si>
    <t> Álvaro Recoba</t>
  </si>
  <si>
    <t> Darío Rodríguez</t>
  </si>
  <si>
    <t>Goals</t>
  </si>
  <si>
    <t>World Cup 2010</t>
  </si>
  <si>
    <t>World Cup 2006</t>
  </si>
  <si>
    <t>World Cup 2002</t>
  </si>
  <si>
    <t> James Rodríguez</t>
  </si>
  <si>
    <t> Neymar</t>
  </si>
  <si>
    <t> Enner Valencia</t>
  </si>
  <si>
    <t> Karim Benzema</t>
  </si>
  <si>
    <t> André Schürrle</t>
  </si>
  <si>
    <t> Xherdan Shaqiri</t>
  </si>
  <si>
    <t> Abdelmoumene Djabou</t>
  </si>
  <si>
    <t> Islam Slimani</t>
  </si>
  <si>
    <t> David Luiz</t>
  </si>
  <si>
    <t> Oscar</t>
  </si>
  <si>
    <t> Alexis Sánchez</t>
  </si>
  <si>
    <t> Jackson Martínez</t>
  </si>
  <si>
    <t> Bryan Ruiz</t>
  </si>
  <si>
    <t> Mario Mandžukić</t>
  </si>
  <si>
    <t> Ivan Perišić</t>
  </si>
  <si>
    <t> Mario Götze</t>
  </si>
  <si>
    <t> Mats Hummels</t>
  </si>
  <si>
    <t> Toni Kroos</t>
  </si>
  <si>
    <t> André Ayew</t>
  </si>
  <si>
    <t> Wilfried Bony</t>
  </si>
  <si>
    <t> Gervinho</t>
  </si>
  <si>
    <t> Memphis Depay</t>
  </si>
  <si>
    <t> Ahmed Musa</t>
  </si>
  <si>
    <t> Yacine Brahimi</t>
  </si>
  <si>
    <t> Sofiane Feghouli</t>
  </si>
  <si>
    <t> Rafik Halliche</t>
  </si>
  <si>
    <t> Ángel Di María</t>
  </si>
  <si>
    <t> Marcos Rojo</t>
  </si>
  <si>
    <t> Mile Jedinak</t>
  </si>
  <si>
    <t> Kevin De Bruyne</t>
  </si>
  <si>
    <t> Marouane Fellaini</t>
  </si>
  <si>
    <t> Romelu Lukaku</t>
  </si>
  <si>
    <t> Dries Mertens</t>
  </si>
  <si>
    <t> Divock Origi</t>
  </si>
  <si>
    <t> Jan Vertonghen</t>
  </si>
  <si>
    <t> Edin Džeko</t>
  </si>
  <si>
    <t> Vedad Ibišević</t>
  </si>
  <si>
    <t> Miralem Pjanić</t>
  </si>
  <si>
    <t> Avdija Vršajević</t>
  </si>
  <si>
    <t> Fernandinho</t>
  </si>
  <si>
    <t> Thiago Silva</t>
  </si>
  <si>
    <t> Joël Matip</t>
  </si>
  <si>
    <t> Charles Aránguiz</t>
  </si>
  <si>
    <t> Jorge Valdivia</t>
  </si>
  <si>
    <t> Eduardo Vargas</t>
  </si>
  <si>
    <t> Pablo Armero</t>
  </si>
  <si>
    <t> Juan Cuadrado</t>
  </si>
  <si>
    <t> Teófilo Gutiérrez</t>
  </si>
  <si>
    <t> Juan Quintero</t>
  </si>
  <si>
    <t> Joel Campbell</t>
  </si>
  <si>
    <t> Óscar Duarte</t>
  </si>
  <si>
    <t> Marco Ureña</t>
  </si>
  <si>
    <t> Wayne Rooney</t>
  </si>
  <si>
    <t> Daniel Sturridge</t>
  </si>
  <si>
    <t> Olivier Giroud</t>
  </si>
  <si>
    <t> Blaise Matuidi</t>
  </si>
  <si>
    <t> Paul Pogba</t>
  </si>
  <si>
    <t> Moussa Sissoko</t>
  </si>
  <si>
    <t> Mathieu Valbuena</t>
  </si>
  <si>
    <t> Sokratis Papastathopoulos</t>
  </si>
  <si>
    <t> Georgios Samaras</t>
  </si>
  <si>
    <t> Andreas Samaris</t>
  </si>
  <si>
    <t> Carlo Costly</t>
  </si>
  <si>
    <t> Reza Ghoochannejhad</t>
  </si>
  <si>
    <t> Mario Balotelli</t>
  </si>
  <si>
    <t> Claudio Marchisio</t>
  </si>
  <si>
    <t> Giovani dos Santos</t>
  </si>
  <si>
    <t> Andrés Guardado</t>
  </si>
  <si>
    <t> Oribe Peralta</t>
  </si>
  <si>
    <t> Daley Blind</t>
  </si>
  <si>
    <t> Stefan de Vrij</t>
  </si>
  <si>
    <t> Leroy Fer</t>
  </si>
  <si>
    <t> Georginio Wijnaldum</t>
  </si>
  <si>
    <t> Peter Odemwingie</t>
  </si>
  <si>
    <t> Nani</t>
  </si>
  <si>
    <t> Silvestre Varela</t>
  </si>
  <si>
    <t> Aleksandr Kerzhakov</t>
  </si>
  <si>
    <t> Aleksandr Kokorin</t>
  </si>
  <si>
    <t> Koo Ja-cheol</t>
  </si>
  <si>
    <t> Lee Keun-ho</t>
  </si>
  <si>
    <t> Son Heung-min</t>
  </si>
  <si>
    <t> Juan Mata</t>
  </si>
  <si>
    <t> Blerim Džemaili</t>
  </si>
  <si>
    <t> Admir Mehmedi</t>
  </si>
  <si>
    <t> Haris Seferović</t>
  </si>
  <si>
    <t> Granit Xhaka</t>
  </si>
  <si>
    <t> John Brooks</t>
  </si>
  <si>
    <t> Julian Green</t>
  </si>
  <si>
    <t> Jermaine Jones</t>
  </si>
  <si>
    <t> Diego Godín</t>
  </si>
  <si>
    <t> Marcelo</t>
  </si>
  <si>
    <t> John Boye</t>
  </si>
  <si>
    <t> Noel Valladares</t>
  </si>
  <si>
    <t> Joseph Yobo</t>
  </si>
  <si>
    <t> Sead Kolašinac</t>
  </si>
  <si>
    <t> Jorge Costa</t>
  </si>
  <si>
    <t> Jeff Agoos</t>
  </si>
  <si>
    <t>World Cup 2014</t>
  </si>
  <si>
    <t xml:space="preserve"> Player name</t>
  </si>
  <si>
    <t>Miroslav Klose</t>
  </si>
  <si>
    <t> Germany</t>
  </si>
  <si>
    <t>Ronaldo</t>
  </si>
  <si>
    <t> Brazil</t>
  </si>
  <si>
    <t>Gerd Müller</t>
  </si>
  <si>
    <t> West Germany</t>
  </si>
  <si>
    <t>Just Fontaine</t>
  </si>
  <si>
    <t> France</t>
  </si>
  <si>
    <t>Pelé</t>
  </si>
  <si>
    <t>Sándor Kocsis</t>
  </si>
  <si>
    <t> Hungary</t>
  </si>
  <si>
    <t>Jürgen Klinsmann</t>
  </si>
  <si>
    <t>Helmut Rahn</t>
  </si>
  <si>
    <t>Gary Lineker</t>
  </si>
  <si>
    <t> England</t>
  </si>
  <si>
    <t>Gabriel Batistuta</t>
  </si>
  <si>
    <t> Argentina</t>
  </si>
  <si>
    <t>Teófilo Cubillas</t>
  </si>
  <si>
    <t> Peru</t>
  </si>
  <si>
    <t>Grzegorz Lato</t>
  </si>
  <si>
    <t> Poland</t>
  </si>
  <si>
    <t>Eusébio</t>
  </si>
  <si>
    <t> Portugal</t>
  </si>
  <si>
    <t>Christian Vieri</t>
  </si>
  <si>
    <t> Italy</t>
  </si>
  <si>
    <t>Vavá</t>
  </si>
  <si>
    <t> Spain</t>
  </si>
  <si>
    <t>Paolo Rossi</t>
  </si>
  <si>
    <t>Jairzinho</t>
  </si>
  <si>
    <t>Roberto Baggio</t>
  </si>
  <si>
    <t>Karl-Heinz Rummenigge</t>
  </si>
  <si>
    <t>Uwe Seeler</t>
  </si>
  <si>
    <t>Guillermo Stábile</t>
  </si>
  <si>
    <t>Leônidas</t>
  </si>
  <si>
    <t>Ademir</t>
  </si>
  <si>
    <t>Óscar Míguez</t>
  </si>
  <si>
    <t> Uruguay</t>
  </si>
  <si>
    <t>Rivaldo</t>
  </si>
  <si>
    <t>Rudi Völler</t>
  </si>
  <si>
    <t>Diego Maradona</t>
  </si>
  <si>
    <t>Oldřich Nejedlý</t>
  </si>
  <si>
    <t> Czechoslovakia</t>
  </si>
  <si>
    <t>Lajos Tichy</t>
  </si>
  <si>
    <t>Careca</t>
  </si>
  <si>
    <t>Andrzej Szarmach</t>
  </si>
  <si>
    <t>Johnny Rep</t>
  </si>
  <si>
    <t> Netherlands</t>
  </si>
  <si>
    <t>Hans Schäfer</t>
  </si>
  <si>
    <t>Josef Hügi</t>
  </si>
  <si>
    <t>  Switzerland</t>
  </si>
  <si>
    <t>Oleg Salenko</t>
  </si>
  <si>
    <t> Russia</t>
  </si>
  <si>
    <t>Max Morlock</t>
  </si>
  <si>
    <t>Erich Probst</t>
  </si>
  <si>
    <t> Austria</t>
  </si>
  <si>
    <t>György Sárosi</t>
  </si>
  <si>
    <t> Colombia</t>
  </si>
  <si>
    <t>Salvatore Schillaci</t>
  </si>
  <si>
    <t>Davor Šuker</t>
  </si>
  <si>
    <t> Croatia</t>
  </si>
  <si>
    <t>Helmut Haller</t>
  </si>
  <si>
    <t>Hristo Stoichkov</t>
  </si>
  <si>
    <t> Bulgaria</t>
  </si>
  <si>
    <t>Diego Forlán</t>
  </si>
  <si>
    <t> Ghana</t>
  </si>
  <si>
    <t>Dennis Bergkamp</t>
  </si>
  <si>
    <t>Rob Rensenbrink</t>
  </si>
  <si>
    <t>Rivellino</t>
  </si>
  <si>
    <t>Bebeto</t>
  </si>
  <si>
    <t>Arjen Robben</t>
  </si>
  <si>
    <t>Zbigniew Boniek</t>
  </si>
  <si>
    <t>Thierry Henry</t>
  </si>
  <si>
    <t>Mario Kempes</t>
  </si>
  <si>
    <t>Lothar Matthäus</t>
  </si>
  <si>
    <t>Pedro Cea</t>
  </si>
  <si>
    <t>Silvio Piola</t>
  </si>
  <si>
    <t>Gyula Zsengellér</t>
  </si>
  <si>
    <t>Peter McParland</t>
  </si>
  <si>
    <t> Northern Ireland</t>
  </si>
  <si>
    <t>Tomáš Skuhravý</t>
  </si>
  <si>
    <t>Juan Alberto Schiaffino</t>
  </si>
  <si>
    <t>Geoff Hurst</t>
  </si>
  <si>
    <t>Jon Dahl Tomasson</t>
  </si>
  <si>
    <t> Denmark</t>
  </si>
  <si>
    <t>Alessandro Altobelli</t>
  </si>
  <si>
    <t>Kennet Andersson</t>
  </si>
  <si>
    <t> Sweden</t>
  </si>
  <si>
    <t>Fernando Morientes</t>
  </si>
  <si>
    <t>Romário</t>
  </si>
  <si>
    <t>Marc Wilmots</t>
  </si>
  <si>
    <t> Belgium</t>
  </si>
  <si>
    <t> Australia</t>
  </si>
  <si>
    <t>Valentin Ivanov</t>
  </si>
  <si>
    <t> Soviet Union</t>
  </si>
  <si>
    <t>Roger Milla</t>
  </si>
  <si>
    <t> Cameroon</t>
  </si>
  <si>
    <t>Emilio Butragueño</t>
  </si>
  <si>
    <t>Hans Krankl</t>
  </si>
  <si>
    <t>Raúl</t>
  </si>
  <si>
    <t>Garrincha</t>
  </si>
  <si>
    <t>Johan Neeskens</t>
  </si>
  <si>
    <t>Fernando Hierro</t>
  </si>
  <si>
    <t>Zinedine Zidane</t>
  </si>
  <si>
    <t>Landon Donovan</t>
  </si>
  <si>
    <t> United States</t>
  </si>
  <si>
    <t>Henrik Larsson</t>
  </si>
  <si>
    <t>Michel Platini</t>
  </si>
  <si>
    <t>Zico</t>
  </si>
  <si>
    <t>Lukas Podolski</t>
  </si>
  <si>
    <t>Franz Beckenbauer</t>
  </si>
  <si>
    <t>Team</t>
  </si>
  <si>
    <t>Matches</t>
  </si>
  <si>
    <t>Thomas Müller</t>
  </si>
  <si>
    <t>David Villa</t>
  </si>
  <si>
    <t>James Rodríguez</t>
  </si>
  <si>
    <t>Asamoah Gyan</t>
  </si>
  <si>
    <t>Wesley Sneijder</t>
  </si>
  <si>
    <t>Robin van Persie</t>
  </si>
  <si>
    <t>Tim Cahill</t>
  </si>
  <si>
    <t>Luis Suárez</t>
  </si>
  <si>
    <t>Gonzalo Higuaín</t>
  </si>
  <si>
    <t>Lionel Messi</t>
  </si>
  <si>
    <t>Cups</t>
  </si>
  <si>
    <t>Plyaer name</t>
  </si>
  <si>
    <t>Distributor ID</t>
  </si>
  <si>
    <t>Distributor Name</t>
  </si>
  <si>
    <t>Country</t>
  </si>
  <si>
    <t>Product Code</t>
  </si>
  <si>
    <t>Product</t>
  </si>
  <si>
    <t>Sales Channel</t>
  </si>
  <si>
    <t>Date Sold</t>
  </si>
  <si>
    <t>Month Sold</t>
  </si>
  <si>
    <t>Quantity</t>
  </si>
  <si>
    <t>Unit Price</t>
  </si>
  <si>
    <t>Revenue</t>
  </si>
  <si>
    <t>Devin Abbott</t>
  </si>
  <si>
    <t>France</t>
  </si>
  <si>
    <t>SUPA105</t>
  </si>
  <si>
    <t>Super Soft Bulk - 2 Litres</t>
  </si>
  <si>
    <t>Online</t>
  </si>
  <si>
    <t>Aphrodite Brennan</t>
  </si>
  <si>
    <t>Malawi</t>
  </si>
  <si>
    <t>Direct</t>
  </si>
  <si>
    <t>Guinevere Key</t>
  </si>
  <si>
    <t>Colombia</t>
  </si>
  <si>
    <t>Retail</t>
  </si>
  <si>
    <t>Zahir Fields</t>
  </si>
  <si>
    <t>Canada</t>
  </si>
  <si>
    <t>Deacon Craig</t>
  </si>
  <si>
    <t>Mongolia</t>
  </si>
  <si>
    <t>Brynne Mcgowan</t>
  </si>
  <si>
    <t>Finland</t>
  </si>
  <si>
    <t>Lani Sweet</t>
  </si>
  <si>
    <t>Vanuatu</t>
  </si>
  <si>
    <t>Noble Warner</t>
  </si>
  <si>
    <t>Burkina Faso</t>
  </si>
  <si>
    <t>SUPA104</t>
  </si>
  <si>
    <t>Super Soft - 1 Litre</t>
  </si>
  <si>
    <t>Levi Douglas</t>
  </si>
  <si>
    <t>Tanzania, United Republic of</t>
  </si>
  <si>
    <t>DETA800</t>
  </si>
  <si>
    <t>Detafast Stain Remover - 800ml</t>
  </si>
  <si>
    <t>Jelani Odonnell</t>
  </si>
  <si>
    <t>Albania</t>
  </si>
  <si>
    <t>Jared Sandoval</t>
  </si>
  <si>
    <t>Botswana</t>
  </si>
  <si>
    <t>Hiroko Acevedo</t>
  </si>
  <si>
    <t>Burundi</t>
  </si>
  <si>
    <t>Rhona Clarke</t>
  </si>
  <si>
    <t>Zimbabwe</t>
  </si>
  <si>
    <t>Tad Mack</t>
  </si>
  <si>
    <t>Iceland</t>
  </si>
  <si>
    <t>Rama Goodwin</t>
  </si>
  <si>
    <t>Tunisia</t>
  </si>
  <si>
    <t>Keaton Wolfe</t>
  </si>
  <si>
    <t>French Southern Territories</t>
  </si>
  <si>
    <t>Samuel Ayala</t>
  </si>
  <si>
    <t>Brazil</t>
  </si>
  <si>
    <t>Doris Williams</t>
  </si>
  <si>
    <t>Trinidad and Tobago</t>
  </si>
  <si>
    <t>SUPA103</t>
  </si>
  <si>
    <t>Super Soft - 500ml</t>
  </si>
  <si>
    <t>Ingrid Bush</t>
  </si>
  <si>
    <t>Montserrat</t>
  </si>
  <si>
    <t>Nell Maddox</t>
  </si>
  <si>
    <t>Azerbaijan</t>
  </si>
  <si>
    <t>Benedict Byrd</t>
  </si>
  <si>
    <t>Mauritania</t>
  </si>
  <si>
    <t>Ethan Gregory</t>
  </si>
  <si>
    <t>Tuvalu</t>
  </si>
  <si>
    <t>Ursula Mcconnell</t>
  </si>
  <si>
    <t>Hungary</t>
  </si>
  <si>
    <t>Fletcher Jimenez</t>
  </si>
  <si>
    <t>Chad</t>
  </si>
  <si>
    <t>DETA200</t>
  </si>
  <si>
    <t>Detafast Stain Remover - 200ml</t>
  </si>
  <si>
    <t>Isadora Mcclure</t>
  </si>
  <si>
    <t>Indonesia</t>
  </si>
  <si>
    <t>DETA100</t>
  </si>
  <si>
    <t>Detafast Stain Remover - 100ml</t>
  </si>
  <si>
    <t>Liberty Mcbride</t>
  </si>
  <si>
    <t>Fiji</t>
  </si>
  <si>
    <t>Noble Gilbert</t>
  </si>
  <si>
    <t>United States</t>
  </si>
  <si>
    <t>Maxine Gentry</t>
  </si>
  <si>
    <t>Panama</t>
  </si>
  <si>
    <t>Melinda Cobb</t>
  </si>
  <si>
    <t>Uruguay</t>
  </si>
  <si>
    <t>PURA250</t>
  </si>
  <si>
    <t>Pure Soft Detergent - 250ml</t>
  </si>
  <si>
    <t>Yael Carter</t>
  </si>
  <si>
    <t>Malaysia</t>
  </si>
  <si>
    <t>Kay Buckley</t>
  </si>
  <si>
    <t>Malta</t>
  </si>
  <si>
    <t>Athena Fitzpatrick</t>
  </si>
  <si>
    <t>Reunion</t>
  </si>
  <si>
    <t>Joy Vazquez</t>
  </si>
  <si>
    <t>Korea</t>
  </si>
  <si>
    <t>Amery Frazier</t>
  </si>
  <si>
    <t>Georgia</t>
  </si>
  <si>
    <t>Buckminster Hopkins</t>
  </si>
  <si>
    <t>Sierra Leone</t>
  </si>
  <si>
    <t>PURA200</t>
  </si>
  <si>
    <t>Pure Soft Detergent - 200ml</t>
  </si>
  <si>
    <t>George Best</t>
  </si>
  <si>
    <t>Western Sahara</t>
  </si>
  <si>
    <t>Maxwell Parker</t>
  </si>
  <si>
    <t>Falkland Islands (Malvinas)</t>
  </si>
  <si>
    <t>Lance Little</t>
  </si>
  <si>
    <t>Croatia</t>
  </si>
  <si>
    <t>Gwendolyn Walton</t>
  </si>
  <si>
    <t>Cuba</t>
  </si>
  <si>
    <t>SUPA102</t>
  </si>
  <si>
    <t>Super Soft - 250ml</t>
  </si>
  <si>
    <t>Isaac Wolf</t>
  </si>
  <si>
    <t>PURA500</t>
  </si>
  <si>
    <t>Pure Soft Detergent - 500ml</t>
  </si>
  <si>
    <t>Celeste Pugh</t>
  </si>
  <si>
    <t>Gabon</t>
  </si>
  <si>
    <t>Oprah Ellis</t>
  </si>
  <si>
    <t>Dominican Republic</t>
  </si>
  <si>
    <t>Emerson Beard</t>
  </si>
  <si>
    <t>Niue</t>
  </si>
  <si>
    <t>Renee Padilla</t>
  </si>
  <si>
    <t>Yemen</t>
  </si>
  <si>
    <t>Maite Henson</t>
  </si>
  <si>
    <t>Bangladesh</t>
  </si>
  <si>
    <t>Ivory Chang</t>
  </si>
  <si>
    <t>Tonga</t>
  </si>
  <si>
    <t>Clark Weaver</t>
  </si>
  <si>
    <t>Palau</t>
  </si>
  <si>
    <t>Ima Cummings</t>
  </si>
  <si>
    <t>Philippines</t>
  </si>
  <si>
    <t>Adria Kaufman</t>
  </si>
  <si>
    <t>Bouvet Island</t>
  </si>
  <si>
    <t>Nyssa Quinn</t>
  </si>
  <si>
    <t>Cocos (Keeling) Islands</t>
  </si>
  <si>
    <t>Amir Alexander</t>
  </si>
  <si>
    <t>Liberia</t>
  </si>
  <si>
    <t>Imogene Bradshaw</t>
  </si>
  <si>
    <t>Niger</t>
  </si>
  <si>
    <t>Gwendolyn Mccarty</t>
  </si>
  <si>
    <t>Madagascar</t>
  </si>
  <si>
    <t>Bell Prince</t>
  </si>
  <si>
    <t>Guinea</t>
  </si>
  <si>
    <t>Katelyn Joseph</t>
  </si>
  <si>
    <t>Slovenia</t>
  </si>
  <si>
    <t>Robert Juarez</t>
  </si>
  <si>
    <t>Svalbard and Jan Mayen</t>
  </si>
  <si>
    <t>Jerry Alvarado</t>
  </si>
  <si>
    <t>Korea, Republic of</t>
  </si>
  <si>
    <t>PURA100</t>
  </si>
  <si>
    <t>Pure Soft Detergent - 100ml</t>
  </si>
  <si>
    <t>India Gilbert</t>
  </si>
  <si>
    <t>Denmark</t>
  </si>
  <si>
    <t>Iliana Porter</t>
  </si>
  <si>
    <t>Poland</t>
  </si>
  <si>
    <t>Deanna Santana</t>
  </si>
  <si>
    <t>Solomon Islands</t>
  </si>
  <si>
    <t>Ivor Mclaughlin</t>
  </si>
  <si>
    <t>United States Minor Outlying Islands</t>
  </si>
  <si>
    <t>Latifah Wall</t>
  </si>
  <si>
    <t>Guadeloupe</t>
  </si>
  <si>
    <t>Anika Tillman</t>
  </si>
  <si>
    <t>Paul Duke</t>
  </si>
  <si>
    <t>Puerto Rico</t>
  </si>
  <si>
    <t>Sawyer Stokes</t>
  </si>
  <si>
    <t>Xerxes Smith</t>
  </si>
  <si>
    <t>Wanda Garza</t>
  </si>
  <si>
    <t>Kyrgyzstan</t>
  </si>
  <si>
    <t>Anjolie Hicks</t>
  </si>
  <si>
    <t>Turks and Caicos Islands</t>
  </si>
  <si>
    <t>Asher Weber</t>
  </si>
  <si>
    <t>Macedonia</t>
  </si>
  <si>
    <t>Mercedes Humphrey</t>
  </si>
  <si>
    <t>Turkey</t>
  </si>
  <si>
    <t>Hayes Rollins</t>
  </si>
  <si>
    <t>Nepal</t>
  </si>
  <si>
    <t>Josiah Yates</t>
  </si>
  <si>
    <t>Winifred Cantu</t>
  </si>
  <si>
    <t>Kazakhstan</t>
  </si>
  <si>
    <t>Germaine Kidd</t>
  </si>
  <si>
    <t>Kenyon Joyce</t>
  </si>
  <si>
    <t>Joel Rivers</t>
  </si>
  <si>
    <t>Australia</t>
  </si>
  <si>
    <t>Colby Knapp</t>
  </si>
  <si>
    <t>Pakistan</t>
  </si>
  <si>
    <t>Vance Campos</t>
  </si>
  <si>
    <t>Syrian Arab Republic</t>
  </si>
  <si>
    <t>Lael Gould</t>
  </si>
  <si>
    <t>El Salvador</t>
  </si>
  <si>
    <t>Jane Hernandez</t>
  </si>
  <si>
    <t>Dara Cunningham</t>
  </si>
  <si>
    <t>Saint Helena</t>
  </si>
  <si>
    <t>Colette Sargent</t>
  </si>
  <si>
    <t>Norfolk Island</t>
  </si>
  <si>
    <t>Shea Cortez</t>
  </si>
  <si>
    <t>India</t>
  </si>
  <si>
    <t>Cyrus Whitley</t>
  </si>
  <si>
    <t>Eleanor Hopper</t>
  </si>
  <si>
    <t>Forrest Macdonald</t>
  </si>
  <si>
    <t>New Caledonia</t>
  </si>
  <si>
    <t>Desirae Perkins</t>
  </si>
  <si>
    <t>Chile</t>
  </si>
  <si>
    <t>Barrett Mckinney</t>
  </si>
  <si>
    <t>Basil Vang</t>
  </si>
  <si>
    <t>Moldova</t>
  </si>
  <si>
    <t>Noel Key</t>
  </si>
  <si>
    <t>Gambia</t>
  </si>
  <si>
    <t>Ebony Mercer</t>
  </si>
  <si>
    <t>Cape Verde</t>
  </si>
  <si>
    <t>Isaac Cooper</t>
  </si>
  <si>
    <t>Netherlands Antilles</t>
  </si>
  <si>
    <t>James Spencer</t>
  </si>
  <si>
    <t>Clark Orr</t>
  </si>
  <si>
    <t>Phillip Perkins</t>
  </si>
  <si>
    <t>Nigeria</t>
  </si>
  <si>
    <t>Uriel Benton</t>
  </si>
  <si>
    <t>South Africa</t>
  </si>
  <si>
    <t>Aretha Patton</t>
  </si>
  <si>
    <t>Thomas Barnes</t>
  </si>
  <si>
    <t>Mayotte</t>
  </si>
  <si>
    <t>Victoria Solis</t>
  </si>
  <si>
    <t>Arsenio Knowles</t>
  </si>
  <si>
    <t>Ryder Conner</t>
  </si>
  <si>
    <t>Virgin Islands, British</t>
  </si>
  <si>
    <t>Roary Dixon</t>
  </si>
  <si>
    <t>Saudi Arabia</t>
  </si>
  <si>
    <t>Silas Battle</t>
  </si>
  <si>
    <t>Leonard Cardenas</t>
  </si>
  <si>
    <t>Brittany Burris</t>
  </si>
  <si>
    <t>Petra Mckenzie</t>
  </si>
  <si>
    <t>Morocco</t>
  </si>
  <si>
    <t>Angela Wise</t>
  </si>
  <si>
    <t>Players who scored five or more goals in the Fifa World Cup</t>
  </si>
  <si>
    <t>Count of sales</t>
  </si>
  <si>
    <t>Greater than $1000</t>
  </si>
  <si>
    <t>Less than $1000</t>
  </si>
  <si>
    <t>Equals $1000</t>
  </si>
  <si>
    <t>Does not Equal $1000</t>
  </si>
  <si>
    <t>Sales revenue</t>
  </si>
  <si>
    <t>Total Revenue (Quantity &lt; 100)</t>
  </si>
  <si>
    <t>Total Revenue in August</t>
  </si>
  <si>
    <t>Region</t>
  </si>
  <si>
    <t>QTY</t>
  </si>
  <si>
    <t>Analysis</t>
  </si>
  <si>
    <t>North America</t>
  </si>
  <si>
    <t>South Asia</t>
  </si>
  <si>
    <t>Pacific Islands</t>
  </si>
  <si>
    <t>Africa</t>
  </si>
  <si>
    <t>Eastern Europe</t>
  </si>
  <si>
    <t>Target Revenue</t>
  </si>
  <si>
    <t>Identify if the product sales have met the target revenue or not.</t>
  </si>
  <si>
    <t>Target Unit Price</t>
  </si>
  <si>
    <t>Identify if the product sales have met the target price and revenue.</t>
  </si>
  <si>
    <t>Distributor</t>
  </si>
  <si>
    <t>Industry</t>
  </si>
  <si>
    <t>The Distribution Group</t>
  </si>
  <si>
    <t>Consumer Stapes</t>
  </si>
  <si>
    <t>Distributors R Us</t>
  </si>
  <si>
    <t>Commodities</t>
  </si>
  <si>
    <t>Discount Distribution</t>
  </si>
  <si>
    <t>Leisure</t>
  </si>
  <si>
    <t>Freight Away</t>
  </si>
  <si>
    <t>Industrial Materials</t>
  </si>
  <si>
    <t>China</t>
  </si>
  <si>
    <t>Infinity Trucking</t>
  </si>
  <si>
    <t>Return the Distributor Name if they sell online or sell over $1,000 of product.</t>
  </si>
  <si>
    <t>No</t>
  </si>
  <si>
    <t>Name</t>
  </si>
  <si>
    <t>Nationality</t>
  </si>
  <si>
    <t>DOB</t>
  </si>
  <si>
    <t>Kiko Casilla</t>
  </si>
  <si>
    <t>Spain</t>
  </si>
  <si>
    <t>Mohamet Ramos</t>
  </si>
  <si>
    <t>Keylor Navas</t>
  </si>
  <si>
    <t>Costa Rica</t>
  </si>
  <si>
    <t>Luca Zidane</t>
  </si>
  <si>
    <t>average age of Real Madrid players</t>
  </si>
  <si>
    <t>Álvaro Tejero</t>
  </si>
  <si>
    <t>Dani Carvajal</t>
  </si>
  <si>
    <t>Achraf Hakimi</t>
  </si>
  <si>
    <t>Theo Hernández</t>
  </si>
  <si>
    <t>Manu Hernando</t>
  </si>
  <si>
    <t>Marcelo</t>
  </si>
  <si>
    <t>Nacho</t>
  </si>
  <si>
    <t>Quezada</t>
  </si>
  <si>
    <t>Dom. Republic</t>
  </si>
  <si>
    <t>Sergio Ramos</t>
  </si>
  <si>
    <t>Vallejo</t>
  </si>
  <si>
    <t>Raphaël Varane</t>
  </si>
  <si>
    <t>Casemiro</t>
  </si>
  <si>
    <t>Dani Ceballos</t>
  </si>
  <si>
    <t>Francisco Feuillassier</t>
  </si>
  <si>
    <t>Argentina</t>
  </si>
  <si>
    <t>Isco</t>
  </si>
  <si>
    <t>Mateo Kovačić</t>
  </si>
  <si>
    <t>Toni Kroos</t>
  </si>
  <si>
    <t>Germany</t>
  </si>
  <si>
    <t>Marco Asensio</t>
  </si>
  <si>
    <t>Marcos Llorente</t>
  </si>
  <si>
    <t>Luka Modrić</t>
  </si>
  <si>
    <t>Óscar</t>
  </si>
  <si>
    <t>Seoane</t>
  </si>
  <si>
    <t>Gareth Bale</t>
  </si>
  <si>
    <t>Wales</t>
  </si>
  <si>
    <t>Karim Benzema</t>
  </si>
  <si>
    <t>Borja Mayoral</t>
  </si>
  <si>
    <t>Cristiano Ronaldo</t>
  </si>
  <si>
    <t>Portugal</t>
  </si>
  <si>
    <t>Cristo</t>
  </si>
  <si>
    <t>Lucas Vázquez</t>
  </si>
  <si>
    <t>Q</t>
  </si>
  <si>
    <t>P</t>
  </si>
  <si>
    <t>sum of revenue combinations</t>
  </si>
  <si>
    <t>average of revenue combinations</t>
  </si>
  <si>
    <t>count of revenue combinations</t>
  </si>
  <si>
    <t>from (Data) sheet</t>
  </si>
  <si>
    <t>Age</t>
  </si>
  <si>
    <t>Sum of Revenue</t>
  </si>
  <si>
    <t>Sum of Quantity</t>
  </si>
  <si>
    <t>#Distributers</t>
  </si>
  <si>
    <t>Avg Price</t>
  </si>
  <si>
    <t>Total Revenue</t>
  </si>
  <si>
    <t>Total Quantity Sold</t>
  </si>
  <si>
    <t>Row Labels</t>
  </si>
  <si>
    <t>Grand Total</t>
  </si>
  <si>
    <t>Revenue by Channel %</t>
  </si>
  <si>
    <t>Top 5 Products By Revenue</t>
  </si>
  <si>
    <t>Total Quantity</t>
  </si>
  <si>
    <t xml:space="preserve">Bottom 5 Countries By Sales </t>
  </si>
  <si>
    <t xml:space="preserve">Top 5 Countries By Sales </t>
  </si>
  <si>
    <t>Sales By Products Contribution</t>
  </si>
  <si>
    <t>Sales Channel Analysis(T-REV vs T-QTY)</t>
  </si>
  <si>
    <t>Jan</t>
  </si>
  <si>
    <t>Feb</t>
  </si>
  <si>
    <t>Apr</t>
  </si>
  <si>
    <t>Jun</t>
  </si>
  <si>
    <t>Jul</t>
  </si>
  <si>
    <t>Aug</t>
  </si>
  <si>
    <t>Dec</t>
  </si>
  <si>
    <t>Monthly Sales</t>
  </si>
  <si>
    <t>Month Name</t>
  </si>
  <si>
    <t>Top 10 Performers</t>
  </si>
  <si>
    <t>Distributors</t>
  </si>
  <si>
    <t>(blank)</t>
  </si>
  <si>
    <t>%Growth</t>
  </si>
  <si>
    <t>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</si>
</sst>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44" formatCode="_(&quot;$&quot;* #,##0.00_);_(&quot;$&quot;* \(#,##0.00\);_(&quot;$&quot;* &quot;-&quot;??_);_(@_)"/>
    <numFmt numFmtId="43" formatCode="_(* #,##0.00_);_(* \(#,##0.00\);_(* &quot;-&quot;??_);_(@_)"/>
    <numFmt numFmtId="164" formatCode="0.0"/>
    <numFmt numFmtId="165" formatCode="_(&quot;$&quot;* #,##0_);_(&quot;$&quot;* \(#,##0\);_(&quot;$&quot;* &quot;-&quot;??_);_(@_)"/>
    <numFmt numFmtId="166" formatCode="_(* #,##0_);_(* \(#,##0\);_(* &quot;-&quot;??_);_(@_)"/>
  </numFmts>
  <fonts count="11"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color theme="1"/>
      <name val="Calibri"/>
      <family val="2"/>
      <scheme val="minor"/>
    </font>
    <font>
      <b/>
      <sz val="10"/>
      <color theme="0"/>
      <name val="Arial"/>
      <family val="2"/>
    </font>
    <font>
      <b/>
      <i/>
      <sz val="11"/>
      <color theme="1"/>
      <name val="Calibri"/>
      <family val="2"/>
      <scheme val="minor"/>
    </font>
    <font>
      <b/>
      <sz val="11"/>
      <color theme="0"/>
      <name val="Calibri"/>
      <family val="2"/>
      <scheme val="minor"/>
    </font>
    <font>
      <b/>
      <sz val="12"/>
      <color theme="0"/>
      <name val="Calibri"/>
      <family val="2"/>
      <scheme val="minor"/>
    </font>
    <font>
      <b/>
      <sz val="10"/>
      <color theme="3"/>
      <name val="Arial"/>
      <family val="2"/>
    </font>
    <font>
      <sz val="14"/>
      <color theme="1"/>
      <name val="Calibri"/>
      <family val="2"/>
      <scheme val="minor"/>
    </font>
  </fonts>
  <fills count="14">
    <fill>
      <patternFill patternType="none"/>
    </fill>
    <fill>
      <patternFill patternType="gray125"/>
    </fill>
    <fill>
      <patternFill patternType="solid">
        <fgColor theme="4" tint="0.59999389629810485"/>
        <bgColor indexed="64"/>
      </patternFill>
    </fill>
    <fill>
      <patternFill patternType="solid">
        <fgColor theme="2"/>
        <bgColor indexed="64"/>
      </patternFill>
    </fill>
    <fill>
      <patternFill patternType="solid">
        <fgColor theme="3"/>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00FF00"/>
        <bgColor indexed="64"/>
      </patternFill>
    </fill>
    <fill>
      <patternFill patternType="solid">
        <fgColor rgb="FFCC0000"/>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3"/>
      </top>
      <bottom style="thin">
        <color theme="3"/>
      </bottom>
      <diagonal/>
    </border>
    <border>
      <left/>
      <right/>
      <top/>
      <bottom style="thin">
        <color theme="3"/>
      </bottom>
      <diagonal/>
    </border>
    <border>
      <left/>
      <right/>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right/>
      <top style="thin">
        <color theme="3"/>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3">
    <xf numFmtId="0" fontId="0" fillId="0" borderId="0"/>
    <xf numFmtId="44" fontId="4" fillId="0" borderId="0" applyFont="0" applyFill="0" applyBorder="0" applyAlignment="0" applyProtection="0"/>
    <xf numFmtId="43" fontId="4" fillId="0" borderId="0" applyFont="0" applyFill="0" applyBorder="0" applyAlignment="0" applyProtection="0"/>
  </cellStyleXfs>
  <cellXfs count="91">
    <xf numFmtId="0" fontId="0" fillId="0" borderId="0" xfId="0"/>
    <xf numFmtId="0" fontId="0" fillId="0" borderId="0" xfId="0" applyAlignment="1">
      <alignment horizontal="center"/>
    </xf>
    <xf numFmtId="0" fontId="0" fillId="2" borderId="1" xfId="0" applyFill="1" applyBorder="1"/>
    <xf numFmtId="0" fontId="0" fillId="3" borderId="1" xfId="0" applyFill="1" applyBorder="1"/>
    <xf numFmtId="0" fontId="0" fillId="3" borderId="1" xfId="0" applyFill="1" applyBorder="1" applyAlignment="1">
      <alignment horizontal="center"/>
    </xf>
    <xf numFmtId="0" fontId="0" fillId="2" borderId="1" xfId="0" applyFill="1" applyBorder="1" applyAlignment="1">
      <alignment horizontal="center"/>
    </xf>
    <xf numFmtId="0" fontId="3" fillId="3" borderId="1" xfId="0" applyFont="1" applyFill="1" applyBorder="1"/>
    <xf numFmtId="0" fontId="3" fillId="3" borderId="1" xfId="0" applyFont="1" applyFill="1" applyBorder="1" applyAlignment="1">
      <alignment horizontal="center"/>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164" fontId="0" fillId="0" borderId="0" xfId="0" applyNumberFormat="1"/>
    <xf numFmtId="0" fontId="1" fillId="2" borderId="0" xfId="0" applyFont="1" applyFill="1" applyAlignment="1">
      <alignment horizontal="center"/>
    </xf>
    <xf numFmtId="0" fontId="1" fillId="2" borderId="5" xfId="0" applyFont="1" applyFill="1" applyBorder="1" applyAlignment="1">
      <alignment horizontal="left"/>
    </xf>
    <xf numFmtId="0" fontId="1" fillId="2" borderId="5" xfId="0" applyFont="1" applyFill="1" applyBorder="1" applyAlignment="1">
      <alignment horizontal="center"/>
    </xf>
    <xf numFmtId="0" fontId="0" fillId="3" borderId="5" xfId="0" applyFill="1" applyBorder="1"/>
    <xf numFmtId="0" fontId="0" fillId="3" borderId="5" xfId="0" applyFill="1" applyBorder="1" applyAlignment="1">
      <alignment horizontal="center"/>
    </xf>
    <xf numFmtId="0" fontId="0" fillId="2" borderId="5" xfId="0" applyFill="1" applyBorder="1"/>
    <xf numFmtId="0" fontId="1" fillId="2" borderId="5" xfId="0" applyFont="1" applyFill="1" applyBorder="1"/>
    <xf numFmtId="0" fontId="0" fillId="5" borderId="0" xfId="0" applyFill="1"/>
    <xf numFmtId="0" fontId="3" fillId="3" borderId="6" xfId="0" applyFont="1" applyFill="1" applyBorder="1"/>
    <xf numFmtId="0" fontId="3" fillId="3" borderId="7" xfId="0" applyFont="1" applyFill="1" applyBorder="1" applyAlignment="1">
      <alignment horizontal="center"/>
    </xf>
    <xf numFmtId="0" fontId="2" fillId="2" borderId="8" xfId="0" applyFont="1" applyFill="1" applyBorder="1" applyAlignment="1">
      <alignment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3" fillId="3" borderId="11" xfId="0" applyFont="1" applyFill="1" applyBorder="1"/>
    <xf numFmtId="0" fontId="3" fillId="3" borderId="12" xfId="0" applyFont="1" applyFill="1" applyBorder="1" applyAlignment="1">
      <alignment horizontal="center"/>
    </xf>
    <xf numFmtId="0" fontId="3" fillId="3" borderId="13" xfId="0" applyFont="1" applyFill="1" applyBorder="1" applyAlignment="1">
      <alignment horizontal="center"/>
    </xf>
    <xf numFmtId="0" fontId="1" fillId="6" borderId="14" xfId="0" applyFont="1" applyFill="1" applyBorder="1" applyAlignment="1">
      <alignment horizontal="center" vertical="center"/>
    </xf>
    <xf numFmtId="14" fontId="1" fillId="6" borderId="14" xfId="0" applyNumberFormat="1" applyFont="1" applyFill="1" applyBorder="1" applyAlignment="1">
      <alignment horizontal="center" vertical="center"/>
    </xf>
    <xf numFmtId="0" fontId="0" fillId="7" borderId="14" xfId="0" applyFill="1" applyBorder="1" applyAlignment="1">
      <alignment horizontal="center" vertical="center"/>
    </xf>
    <xf numFmtId="14" fontId="0" fillId="0" borderId="0" xfId="0" applyNumberFormat="1"/>
    <xf numFmtId="0" fontId="0" fillId="6" borderId="14" xfId="0" applyFill="1" applyBorder="1"/>
    <xf numFmtId="0" fontId="0" fillId="8" borderId="14" xfId="0" applyFill="1" applyBorder="1"/>
    <xf numFmtId="0" fontId="1" fillId="6" borderId="14" xfId="0" applyFont="1" applyFill="1" applyBorder="1" applyAlignment="1">
      <alignment horizontal="center"/>
    </xf>
    <xf numFmtId="0" fontId="0" fillId="8" borderId="14" xfId="0" applyFill="1" applyBorder="1" applyAlignment="1">
      <alignment horizontal="center"/>
    </xf>
    <xf numFmtId="0" fontId="0" fillId="6" borderId="14" xfId="0" applyFill="1" applyBorder="1" applyAlignment="1">
      <alignment horizontal="center"/>
    </xf>
    <xf numFmtId="0" fontId="0" fillId="7" borderId="14" xfId="0" applyFill="1" applyBorder="1"/>
    <xf numFmtId="0" fontId="6" fillId="0" borderId="0" xfId="0" applyFont="1"/>
    <xf numFmtId="0" fontId="0" fillId="0" borderId="0" xfId="0" applyAlignment="1">
      <alignment horizontal="left"/>
    </xf>
    <xf numFmtId="0" fontId="1" fillId="6" borderId="15" xfId="0" applyFont="1" applyFill="1" applyBorder="1" applyAlignment="1">
      <alignment horizontal="center" vertical="center"/>
    </xf>
    <xf numFmtId="1" fontId="0" fillId="8" borderId="14" xfId="0" applyNumberFormat="1" applyFill="1" applyBorder="1"/>
    <xf numFmtId="166" fontId="0" fillId="8" borderId="14" xfId="2" applyNumberFormat="1" applyFont="1" applyFill="1" applyBorder="1"/>
    <xf numFmtId="0" fontId="5" fillId="4" borderId="2" xfId="0" applyFont="1" applyFill="1" applyBorder="1" applyAlignment="1">
      <alignment horizontal="left" wrapText="1"/>
    </xf>
    <xf numFmtId="0" fontId="5" fillId="4" borderId="0" xfId="0" applyFont="1" applyFill="1" applyAlignment="1">
      <alignment horizontal="left" wrapText="1"/>
    </xf>
    <xf numFmtId="3" fontId="5" fillId="4" borderId="0" xfId="0" applyNumberFormat="1" applyFont="1" applyFill="1" applyAlignment="1">
      <alignment horizontal="left" wrapText="1"/>
    </xf>
    <xf numFmtId="0" fontId="5" fillId="4" borderId="0" xfId="1" applyNumberFormat="1" applyFont="1" applyFill="1" applyBorder="1" applyAlignment="1">
      <alignment horizontal="left" wrapText="1"/>
    </xf>
    <xf numFmtId="0" fontId="9" fillId="0" borderId="2" xfId="0" applyFont="1" applyBorder="1" applyAlignment="1">
      <alignment horizontal="center"/>
    </xf>
    <xf numFmtId="14" fontId="9" fillId="0" borderId="2" xfId="0" applyNumberFormat="1" applyFont="1" applyBorder="1" applyAlignment="1">
      <alignment horizontal="center"/>
    </xf>
    <xf numFmtId="1" fontId="9" fillId="0" borderId="2" xfId="0" applyNumberFormat="1" applyFont="1" applyBorder="1" applyAlignment="1">
      <alignment horizontal="center"/>
    </xf>
    <xf numFmtId="3" fontId="9" fillId="0" borderId="2" xfId="0" applyNumberFormat="1" applyFont="1" applyBorder="1" applyAlignment="1">
      <alignment horizontal="center"/>
    </xf>
    <xf numFmtId="8" fontId="9" fillId="0" borderId="2" xfId="1" applyNumberFormat="1" applyFont="1" applyBorder="1" applyAlignment="1">
      <alignment horizontal="center"/>
    </xf>
    <xf numFmtId="165" fontId="9" fillId="0" borderId="2" xfId="0" applyNumberFormat="1" applyFont="1" applyBorder="1" applyAlignment="1">
      <alignment horizontal="center"/>
    </xf>
    <xf numFmtId="0" fontId="9" fillId="0" borderId="3" xfId="0" applyFont="1" applyBorder="1" applyAlignment="1">
      <alignment horizontal="center"/>
    </xf>
    <xf numFmtId="0" fontId="9" fillId="0" borderId="16" xfId="0" applyFont="1" applyBorder="1" applyAlignment="1">
      <alignment horizontal="center"/>
    </xf>
    <xf numFmtId="14" fontId="9" fillId="0" borderId="16" xfId="0" applyNumberFormat="1" applyFont="1" applyBorder="1" applyAlignment="1">
      <alignment horizontal="center"/>
    </xf>
    <xf numFmtId="1" fontId="9" fillId="0" borderId="16" xfId="0" applyNumberFormat="1" applyFont="1" applyBorder="1" applyAlignment="1">
      <alignment horizontal="center"/>
    </xf>
    <xf numFmtId="3" fontId="9" fillId="0" borderId="16" xfId="0" applyNumberFormat="1" applyFont="1" applyBorder="1" applyAlignment="1">
      <alignment horizontal="center"/>
    </xf>
    <xf numFmtId="8" fontId="9" fillId="0" borderId="16" xfId="1" applyNumberFormat="1" applyFont="1" applyBorder="1" applyAlignment="1">
      <alignment horizontal="center"/>
    </xf>
    <xf numFmtId="165" fontId="9" fillId="0" borderId="16" xfId="0" applyNumberFormat="1" applyFont="1" applyBorder="1" applyAlignment="1">
      <alignment horizontal="center"/>
    </xf>
    <xf numFmtId="0" fontId="1" fillId="3" borderId="5" xfId="0" applyFont="1" applyFill="1" applyBorder="1" applyAlignment="1">
      <alignment horizontal="center"/>
    </xf>
    <xf numFmtId="0" fontId="0" fillId="7" borderId="17" xfId="0" applyFill="1" applyBorder="1"/>
    <xf numFmtId="165" fontId="1" fillId="7" borderId="17" xfId="0" applyNumberFormat="1" applyFont="1" applyFill="1" applyBorder="1"/>
    <xf numFmtId="0" fontId="0" fillId="6" borderId="0" xfId="0" applyFill="1"/>
    <xf numFmtId="0" fontId="8" fillId="9" borderId="0" xfId="0" applyFont="1" applyFill="1"/>
    <xf numFmtId="0" fontId="2" fillId="10" borderId="0" xfId="0" applyFont="1" applyFill="1"/>
    <xf numFmtId="0" fontId="7" fillId="11" borderId="5" xfId="0" applyFont="1" applyFill="1" applyBorder="1" applyAlignment="1">
      <alignment horizontal="center"/>
    </xf>
    <xf numFmtId="0" fontId="2" fillId="2" borderId="5" xfId="0" applyFont="1" applyFill="1" applyBorder="1" applyAlignment="1">
      <alignment horizontal="center"/>
    </xf>
    <xf numFmtId="165" fontId="0" fillId="3" borderId="5" xfId="1" applyNumberFormat="1" applyFont="1" applyFill="1" applyBorder="1" applyAlignment="1">
      <alignment horizontal="center"/>
    </xf>
    <xf numFmtId="0" fontId="1" fillId="12" borderId="18" xfId="0" applyFont="1" applyFill="1" applyBorder="1"/>
    <xf numFmtId="0" fontId="0" fillId="0" borderId="0" xfId="0" pivotButton="1"/>
    <xf numFmtId="165" fontId="1" fillId="0" borderId="0" xfId="0" applyNumberFormat="1" applyFont="1"/>
    <xf numFmtId="8" fontId="1" fillId="0" borderId="0" xfId="0" applyNumberFormat="1" applyFont="1"/>
    <xf numFmtId="3" fontId="1" fillId="0" borderId="0" xfId="0" applyNumberFormat="1" applyFont="1"/>
    <xf numFmtId="0" fontId="1" fillId="0" borderId="0" xfId="0" applyFont="1"/>
    <xf numFmtId="0" fontId="10" fillId="0" borderId="0" xfId="0" applyFont="1"/>
    <xf numFmtId="165" fontId="1" fillId="0" borderId="0" xfId="1" applyNumberFormat="1" applyFont="1"/>
    <xf numFmtId="44" fontId="1" fillId="0" borderId="0" xfId="1" applyFont="1"/>
    <xf numFmtId="166" fontId="1" fillId="0" borderId="0" xfId="2" applyNumberFormat="1" applyFont="1"/>
    <xf numFmtId="10" fontId="1" fillId="0" borderId="0" xfId="0" applyNumberFormat="1" applyFont="1"/>
    <xf numFmtId="9" fontId="1" fillId="0" borderId="0" xfId="0" applyNumberFormat="1" applyFont="1"/>
    <xf numFmtId="1" fontId="1" fillId="0" borderId="0" xfId="0" applyNumberFormat="1" applyFont="1"/>
    <xf numFmtId="0" fontId="0" fillId="13" borderId="0" xfId="0" applyFill="1"/>
    <xf numFmtId="0" fontId="2" fillId="0" borderId="0" xfId="0" applyFont="1"/>
    <xf numFmtId="166" fontId="1" fillId="0" borderId="0" xfId="0" applyNumberFormat="1" applyFont="1"/>
    <xf numFmtId="0" fontId="1" fillId="2" borderId="1" xfId="0" applyFont="1" applyFill="1" applyBorder="1" applyAlignment="1">
      <alignment horizontal="center"/>
    </xf>
    <xf numFmtId="0" fontId="2" fillId="2" borderId="4" xfId="0" applyFont="1" applyFill="1" applyBorder="1" applyAlignment="1">
      <alignment horizontal="center" vertical="center"/>
    </xf>
    <xf numFmtId="0" fontId="0" fillId="0" borderId="0" xfId="0" applyAlignment="1">
      <alignment horizontal="left"/>
    </xf>
    <xf numFmtId="0" fontId="1" fillId="2" borderId="5" xfId="0" applyFont="1" applyFill="1" applyBorder="1" applyAlignment="1">
      <alignment horizontal="center"/>
    </xf>
    <xf numFmtId="44" fontId="0" fillId="3" borderId="5" xfId="1" applyFont="1" applyFill="1" applyBorder="1" applyAlignment="1">
      <alignment horizontal="center"/>
    </xf>
    <xf numFmtId="165" fontId="0" fillId="3" borderId="5" xfId="1" applyNumberFormat="1" applyFont="1" applyFill="1" applyBorder="1" applyAlignment="1">
      <alignment horizontal="center" vertical="center"/>
    </xf>
    <xf numFmtId="0" fontId="2" fillId="2" borderId="0" xfId="0" applyFont="1" applyFill="1" applyAlignment="1">
      <alignment horizontal="center"/>
    </xf>
  </cellXfs>
  <cellStyles count="3">
    <cellStyle name="Comma" xfId="2" builtinId="3"/>
    <cellStyle name="Currency" xfId="1" builtinId="4"/>
    <cellStyle name="Normal" xfId="0" builtinId="0"/>
  </cellStyles>
  <dxfs count="144">
    <dxf>
      <font>
        <color theme="0"/>
      </font>
      <fill>
        <patternFill>
          <bgColor rgb="FFFF0000"/>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b/>
      </font>
    </dxf>
    <dxf>
      <font>
        <sz val="14"/>
      </font>
    </dxf>
    <dxf>
      <numFmt numFmtId="13" formatCode="0%"/>
    </dxf>
    <dxf>
      <numFmt numFmtId="165" formatCode="_(&quot;$&quot;* #,##0_);_(&quot;$&quot;* \(#,##0\);_(&quot;$&quot;* &quot;-&quot;??_);_(@_)"/>
    </dxf>
    <dxf>
      <font>
        <sz val="14"/>
      </font>
    </dxf>
    <dxf>
      <numFmt numFmtId="2" formatCode="0.00"/>
    </dxf>
    <dxf>
      <numFmt numFmtId="1" formatCode="0"/>
    </dxf>
    <dxf>
      <font>
        <b/>
      </font>
    </dxf>
    <dxf>
      <font>
        <sz val="14"/>
      </font>
    </dxf>
    <dxf>
      <numFmt numFmtId="13" formatCode="0%"/>
    </dxf>
    <dxf>
      <numFmt numFmtId="165" formatCode="_(&quot;$&quot;* #,##0_);_(&quot;$&quot;* \(#,##0\);_(&quot;$&quot;* &quot;-&quot;??_);_(@_)"/>
    </dxf>
    <dxf>
      <font>
        <sz val="14"/>
      </font>
    </dxf>
    <dxf>
      <numFmt numFmtId="2" formatCode="0.00"/>
    </dxf>
    <dxf>
      <numFmt numFmtId="1" formatCode="0"/>
    </dxf>
    <dxf>
      <font>
        <b/>
      </font>
    </dxf>
    <dxf>
      <font>
        <sz val="14"/>
      </font>
    </dxf>
    <dxf>
      <numFmt numFmtId="13" formatCode="0%"/>
    </dxf>
    <dxf>
      <numFmt numFmtId="165" formatCode="_(&quot;$&quot;* #,##0_);_(&quot;$&quot;* \(#,##0\);_(&quot;$&quot;* &quot;-&quot;??_);_(@_)"/>
    </dxf>
    <dxf>
      <font>
        <sz val="14"/>
      </font>
    </dxf>
    <dxf>
      <numFmt numFmtId="2" formatCode="0.00"/>
    </dxf>
    <dxf>
      <numFmt numFmtId="1" formatCode="0"/>
    </dxf>
    <dxf>
      <font>
        <b/>
      </font>
    </dxf>
    <dxf>
      <font>
        <sz val="14"/>
      </font>
    </dxf>
    <dxf>
      <numFmt numFmtId="13" formatCode="0%"/>
    </dxf>
    <dxf>
      <numFmt numFmtId="165" formatCode="_(&quot;$&quot;* #,##0_);_(&quot;$&quot;* \(#,##0\);_(&quot;$&quot;* &quot;-&quot;??_);_(@_)"/>
    </dxf>
    <dxf>
      <font>
        <sz val="14"/>
      </font>
    </dxf>
    <dxf>
      <numFmt numFmtId="2" formatCode="0.00"/>
    </dxf>
    <dxf>
      <numFmt numFmtId="1" formatCode="0"/>
    </dxf>
    <dxf>
      <font>
        <b/>
      </font>
    </dxf>
    <dxf>
      <font>
        <sz val="14"/>
      </font>
    </dxf>
    <dxf>
      <numFmt numFmtId="13" formatCode="0%"/>
    </dxf>
    <dxf>
      <numFmt numFmtId="165" formatCode="_(&quot;$&quot;* #,##0_);_(&quot;$&quot;* \(#,##0\);_(&quot;$&quot;* &quot;-&quot;??_);_(@_)"/>
    </dxf>
    <dxf>
      <font>
        <sz val="14"/>
      </font>
    </dxf>
    <dxf>
      <numFmt numFmtId="2" formatCode="0.00"/>
    </dxf>
    <dxf>
      <numFmt numFmtId="1" formatCode="0"/>
    </dxf>
    <dxf>
      <font>
        <b/>
      </font>
    </dxf>
    <dxf>
      <font>
        <sz val="14"/>
      </font>
    </dxf>
    <dxf>
      <numFmt numFmtId="13" formatCode="0%"/>
    </dxf>
    <dxf>
      <numFmt numFmtId="165" formatCode="_(&quot;$&quot;* #,##0_);_(&quot;$&quot;* \(#,##0\);_(&quot;$&quot;* &quot;-&quot;??_);_(@_)"/>
    </dxf>
    <dxf>
      <font>
        <sz val="14"/>
      </font>
    </dxf>
    <dxf>
      <numFmt numFmtId="2" formatCode="0.00"/>
    </dxf>
    <dxf>
      <numFmt numFmtId="1" formatCode="0"/>
    </dxf>
    <dxf>
      <numFmt numFmtId="1" formatCode="0"/>
    </dxf>
    <dxf>
      <numFmt numFmtId="2" formatCode="0.00"/>
    </dxf>
    <dxf>
      <font>
        <sz val="14"/>
      </font>
    </dxf>
    <dxf>
      <numFmt numFmtId="165" formatCode="_(&quot;$&quot;* #,##0_);_(&quot;$&quot;* \(#,##0\);_(&quot;$&quot;* &quot;-&quot;??_);_(@_)"/>
    </dxf>
    <dxf>
      <numFmt numFmtId="13" formatCode="0%"/>
    </dxf>
    <dxf>
      <font>
        <sz val="14"/>
      </font>
    </dxf>
    <dxf>
      <font>
        <b/>
      </font>
    </dxf>
    <dxf>
      <numFmt numFmtId="1" formatCode="0"/>
    </dxf>
    <dxf>
      <numFmt numFmtId="2" formatCode="0.00"/>
    </dxf>
    <dxf>
      <font>
        <sz val="14"/>
      </font>
    </dxf>
    <dxf>
      <numFmt numFmtId="165" formatCode="_(&quot;$&quot;* #,##0_);_(&quot;$&quot;* \(#,##0\);_(&quot;$&quot;* &quot;-&quot;??_);_(@_)"/>
    </dxf>
    <dxf>
      <numFmt numFmtId="13" formatCode="0%"/>
    </dxf>
    <dxf>
      <font>
        <sz val="14"/>
      </font>
    </dxf>
    <dxf>
      <font>
        <b/>
      </font>
    </dxf>
    <dxf>
      <numFmt numFmtId="13" formatCode="0%"/>
    </dxf>
    <dxf>
      <numFmt numFmtId="14" formatCode="0.00%"/>
    </dxf>
    <dxf>
      <font>
        <sz val="14"/>
      </font>
    </dxf>
    <dxf>
      <font>
        <b/>
      </font>
    </dxf>
    <dxf>
      <numFmt numFmtId="165" formatCode="_(&quot;$&quot;* #,##0_);_(&quot;$&quot;* \(#,##0\);_(&quot;$&quot;* &quot;-&quot;??_);_(@_)"/>
    </dxf>
    <dxf>
      <numFmt numFmtId="13" formatCode="0%"/>
    </dxf>
    <dxf>
      <font>
        <sz val="14"/>
      </font>
    </dxf>
    <dxf>
      <font>
        <b/>
      </font>
    </dxf>
    <dxf>
      <numFmt numFmtId="13" formatCode="0%"/>
    </dxf>
    <dxf>
      <numFmt numFmtId="14" formatCode="0.00%"/>
    </dxf>
    <dxf>
      <font>
        <sz val="14"/>
      </font>
    </dxf>
    <dxf>
      <font>
        <b/>
      </font>
    </dxf>
    <dxf>
      <numFmt numFmtId="1" formatCode="0"/>
    </dxf>
    <dxf>
      <font>
        <sz val="14"/>
      </font>
    </dxf>
    <dxf>
      <numFmt numFmtId="165" formatCode="_(&quot;$&quot;* #,##0_);_(&quot;$&quot;* \(#,##0\);_(&quot;$&quot;* &quot;-&quot;??_);_(@_)"/>
    </dxf>
    <dxf>
      <numFmt numFmtId="13" formatCode="0%"/>
    </dxf>
    <dxf>
      <font>
        <sz val="14"/>
      </font>
    </dxf>
    <dxf>
      <font>
        <b/>
      </font>
    </dxf>
    <dxf>
      <numFmt numFmtId="166" formatCode="_(* #,##0_);_(* \(#,##0\);_(* &quot;-&quot;??_);_(@_)"/>
    </dxf>
    <dxf>
      <numFmt numFmtId="165" formatCode="_(&quot;$&quot;* #,##0_);_(&quot;$&quot;* \(#,##0\);_(&quot;$&quot;* &quot;-&quot;??_);_(@_)"/>
    </dxf>
    <dxf>
      <numFmt numFmtId="13" formatCode="0%"/>
    </dxf>
    <dxf>
      <font>
        <sz val="14"/>
      </font>
    </dxf>
    <dxf>
      <font>
        <b/>
      </font>
    </dxf>
    <dxf>
      <font>
        <sz val="14"/>
      </font>
    </dxf>
    <dxf>
      <font>
        <b/>
      </font>
    </dxf>
    <dxf>
      <numFmt numFmtId="165" formatCode="_(&quot;$&quot;* #,##0_);_(&quot;$&quot;* \(#,##0\);_(&quot;$&quot;* &quot;-&quot;??_);_(@_)"/>
    </dxf>
    <dxf>
      <numFmt numFmtId="13" formatCode="0%"/>
    </dxf>
    <dxf>
      <font>
        <sz val="14"/>
      </font>
    </dxf>
    <dxf>
      <font>
        <b/>
      </font>
    </dxf>
    <dxf>
      <numFmt numFmtId="1" formatCode="0"/>
    </dxf>
    <dxf>
      <font>
        <sz val="14"/>
      </font>
    </dxf>
    <dxf>
      <numFmt numFmtId="13" formatCode="0%"/>
    </dxf>
    <dxf>
      <font>
        <b/>
      </font>
    </dxf>
    <dxf>
      <numFmt numFmtId="14" formatCode="0.00%"/>
    </dxf>
    <dxf>
      <numFmt numFmtId="1" formatCode="0"/>
    </dxf>
    <dxf>
      <font>
        <sz val="14"/>
      </font>
    </dxf>
    <dxf>
      <numFmt numFmtId="165" formatCode="_(&quot;$&quot;* #,##0_);_(&quot;$&quot;* \(#,##0\);_(&quot;$&quot;* &quot;-&quot;??_);_(@_)"/>
    </dxf>
    <dxf>
      <numFmt numFmtId="13" formatCode="0%"/>
    </dxf>
    <dxf>
      <font>
        <sz val="14"/>
      </font>
    </dxf>
    <dxf>
      <font>
        <b/>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font>
        <b/>
      </font>
    </dxf>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2"/>
        </patternFill>
      </fill>
      <border diagonalUp="0" diagonalDown="0">
        <left/>
        <right style="thin">
          <color theme="0" tint="-0.34998626667073579"/>
        </right>
        <top style="thin">
          <color theme="0" tint="-0.34998626667073579"/>
        </top>
        <bottom style="thin">
          <color theme="0" tint="-0.34998626667073579"/>
        </bottom>
        <vertical/>
        <horizontal/>
      </border>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dxf>
    <dxf>
      <border outline="0">
        <bottom style="thin">
          <color theme="0" tint="-0.34998626667073579"/>
        </bottom>
      </border>
    </dxf>
    <dxf>
      <font>
        <b/>
        <i val="0"/>
        <strike val="0"/>
        <condense val="0"/>
        <extend val="0"/>
        <outline val="0"/>
        <shadow val="0"/>
        <u val="none"/>
        <vertAlign val="baseline"/>
        <sz val="12"/>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strike val="0"/>
        <condense val="0"/>
        <extend val="0"/>
        <outline val="0"/>
        <shadow val="0"/>
        <u val="none"/>
        <vertAlign val="baseline"/>
        <sz val="10"/>
        <color theme="3"/>
        <name val="Arial"/>
        <family val="2"/>
        <scheme val="none"/>
      </font>
      <numFmt numFmtId="165" formatCode="_(&quot;$&quot;* #,##0_);_(&quot;$&quot;* \(#,##0\);_(&quot;$&quot;* &quot;-&quot;??_);_(@_)"/>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numFmt numFmtId="12" formatCode="&quot;$&quot;#,##0.00_);[Red]\(&quot;$&quot;#,##0.00\)"/>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numFmt numFmtId="3" formatCode="#,##0"/>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numFmt numFmtId="1" formatCode="0"/>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numFmt numFmtId="19" formatCode="m/d/yyyy"/>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alignment horizontal="center" vertical="bottom" textRotation="0" wrapText="0" indent="0" justifyLastLine="0" shrinkToFit="0" readingOrder="0"/>
      <border diagonalUp="0" diagonalDown="0" outline="0">
        <left/>
        <right/>
        <top style="thin">
          <color theme="3"/>
        </top>
        <bottom style="thin">
          <color theme="3"/>
        </bottom>
      </border>
    </dxf>
    <dxf>
      <font>
        <b/>
        <i val="0"/>
        <strike val="0"/>
        <condense val="0"/>
        <extend val="0"/>
        <outline val="0"/>
        <shadow val="0"/>
        <u val="none"/>
        <vertAlign val="baseline"/>
        <sz val="10"/>
        <color theme="3"/>
        <name val="Arial"/>
        <family val="2"/>
        <scheme val="none"/>
      </font>
      <alignment horizontal="center" vertical="bottom" textRotation="0" wrapText="0" indent="0" justifyLastLine="0" shrinkToFit="0" readingOrder="0"/>
      <border diagonalUp="0" diagonalDown="0" outline="0">
        <left/>
        <right/>
        <top style="thin">
          <color theme="3"/>
        </top>
        <bottom style="thin">
          <color theme="3"/>
        </bottom>
      </border>
    </dxf>
    <dxf>
      <border outline="0">
        <bottom style="thin">
          <color theme="3"/>
        </bottom>
      </border>
    </dxf>
    <dxf>
      <font>
        <b/>
        <i val="0"/>
        <strike val="0"/>
        <condense val="0"/>
        <extend val="0"/>
        <outline val="0"/>
        <shadow val="0"/>
        <u val="none"/>
        <vertAlign val="baseline"/>
        <sz val="10"/>
        <color theme="3"/>
        <name val="Arial"/>
        <family val="2"/>
        <scheme val="none"/>
      </font>
      <alignment horizontal="center" vertical="bottom" textRotation="0" wrapText="0" indent="0" justifyLastLine="0" shrinkToFit="0" readingOrder="0"/>
    </dxf>
    <dxf>
      <alignment horizontal="left" vertical="bottom" textRotation="0" indent="0" justifyLastLine="0" shrinkToFit="0" readingOrder="0"/>
    </dxf>
    <dxf>
      <font>
        <b/>
        <i val="0"/>
        <sz val="14"/>
      </font>
      <fill>
        <patternFill>
          <bgColor theme="0"/>
        </patternFill>
      </fill>
      <border>
        <left style="thick">
          <color auto="1"/>
        </left>
        <right style="thick">
          <color auto="1"/>
        </right>
        <top style="thick">
          <color auto="1"/>
        </top>
        <bottom style="thick">
          <color auto="1"/>
        </bottom>
        <vertical style="thin">
          <color auto="1"/>
        </vertical>
      </border>
    </dxf>
    <dxf>
      <border>
        <left style="medium">
          <color auto="1"/>
        </left>
        <right style="medium">
          <color auto="1"/>
        </right>
        <top style="medium">
          <color auto="1"/>
        </top>
        <bottom style="medium">
          <color auto="1"/>
        </bottom>
        <horizontal style="medium">
          <color auto="1"/>
        </horizontal>
      </border>
    </dxf>
    <dxf>
      <font>
        <b/>
        <i val="0"/>
        <sz val="14"/>
      </font>
      <fill>
        <patternFill>
          <bgColor theme="0"/>
        </patternFill>
      </fill>
      <border>
        <left style="thick">
          <color auto="1"/>
        </left>
        <right style="thick">
          <color auto="1"/>
        </right>
        <top style="thick">
          <color auto="1"/>
        </top>
        <bottom style="thick">
          <color auto="1"/>
        </bottom>
        <vertical style="thin">
          <color auto="1"/>
        </vertical>
      </border>
    </dxf>
    <dxf>
      <border>
        <left style="medium">
          <color auto="1"/>
        </left>
        <right style="medium">
          <color auto="1"/>
        </right>
        <top style="medium">
          <color auto="1"/>
        </top>
        <bottom style="medium">
          <color auto="1"/>
        </bottom>
        <horizontal style="medium">
          <color auto="1"/>
        </horizontal>
      </border>
    </dxf>
    <dxf>
      <font>
        <b/>
        <i val="0"/>
        <sz val="14"/>
      </font>
      <fill>
        <patternFill>
          <bgColor theme="0"/>
        </patternFill>
      </fill>
      <border>
        <left style="thick">
          <color auto="1"/>
        </left>
        <right style="thick">
          <color auto="1"/>
        </right>
        <top style="thick">
          <color auto="1"/>
        </top>
        <bottom style="thick">
          <color auto="1"/>
        </bottom>
        <vertical style="thin">
          <color auto="1"/>
        </vertical>
      </border>
    </dxf>
    <dxf>
      <border>
        <left style="medium">
          <color auto="1"/>
        </left>
        <right style="medium">
          <color auto="1"/>
        </right>
        <top style="medium">
          <color auto="1"/>
        </top>
        <bottom style="medium">
          <color auto="1"/>
        </bottom>
        <horizontal style="medium">
          <color auto="1"/>
        </horizontal>
      </border>
    </dxf>
    <dxf>
      <font>
        <b/>
        <i val="0"/>
        <sz val="14"/>
      </font>
      <fill>
        <patternFill>
          <bgColor theme="0"/>
        </patternFill>
      </fill>
      <border>
        <left style="thick">
          <color auto="1"/>
        </left>
        <right style="thick">
          <color auto="1"/>
        </right>
        <top style="thick">
          <color auto="1"/>
        </top>
        <bottom style="thick">
          <color auto="1"/>
        </bottom>
        <vertical style="thin">
          <color auto="1"/>
        </vertical>
      </border>
    </dxf>
    <dxf>
      <border>
        <left style="medium">
          <color auto="1"/>
        </left>
        <right style="medium">
          <color auto="1"/>
        </right>
        <top style="medium">
          <color auto="1"/>
        </top>
        <bottom style="medium">
          <color auto="1"/>
        </bottom>
        <horizontal style="medium">
          <color auto="1"/>
        </horizontal>
      </border>
    </dxf>
  </dxfs>
  <tableStyles count="4" defaultTableStyle="TableStyleMedium2" defaultPivotStyle="PivotStyleLight16">
    <tableStyle name="Slicer Style 1" pivot="0" table="0" count="4" xr9:uid="{0F7AD6C2-8FB8-40AC-A697-C3A79BB69630}">
      <tableStyleElement type="wholeTable" dxfId="143"/>
      <tableStyleElement type="headerRow" dxfId="142"/>
    </tableStyle>
    <tableStyle name="Slicer Style 1 2" pivot="0" table="0" count="4" xr9:uid="{2C1B6692-4607-44CD-86A0-A2ECD1BF9D5F}">
      <tableStyleElement type="wholeTable" dxfId="141"/>
      <tableStyleElement type="headerRow" dxfId="140"/>
    </tableStyle>
    <tableStyle name="Slicer Style 1 3" pivot="0" table="0" count="4" xr9:uid="{830357C5-6F9B-4EFC-B8B8-A6EB56CCFB08}">
      <tableStyleElement type="wholeTable" dxfId="139"/>
      <tableStyleElement type="headerRow" dxfId="138"/>
    </tableStyle>
    <tableStyle name="Slicer Style 1 4" pivot="0" table="0" count="4" xr9:uid="{0A7CA6B9-5607-40C5-BA3E-954D85939B2D}">
      <tableStyleElement type="wholeTable" dxfId="137"/>
      <tableStyleElement type="headerRow" dxfId="136"/>
    </tableStyle>
  </tableStyles>
  <colors>
    <mruColors>
      <color rgb="FFCC0000"/>
      <color rgb="FF00FF00"/>
    </mruColors>
  </colors>
  <extLst>
    <ext xmlns:x14="http://schemas.microsoft.com/office/spreadsheetml/2009/9/main" uri="{46F421CA-312F-682f-3DD2-61675219B42D}">
      <x14:dxfs count="8">
        <dxf>
          <fill>
            <patternFill>
              <bgColor theme="2"/>
            </patternFill>
          </fill>
        </dxf>
        <dxf>
          <font>
            <b/>
            <i val="0"/>
            <sz val="14"/>
          </font>
          <fill>
            <patternFill>
              <bgColor theme="2"/>
            </patternFill>
          </fill>
          <border>
            <left style="medium">
              <color auto="1"/>
            </left>
            <right style="medium">
              <color auto="1"/>
            </right>
            <top style="medium">
              <color auto="1"/>
            </top>
            <bottom style="medium">
              <color auto="1"/>
            </bottom>
          </border>
        </dxf>
        <dxf>
          <fill>
            <patternFill>
              <bgColor theme="2"/>
            </patternFill>
          </fill>
        </dxf>
        <dxf>
          <font>
            <b/>
            <i val="0"/>
            <sz val="14"/>
          </font>
          <fill>
            <patternFill>
              <bgColor theme="2"/>
            </patternFill>
          </fill>
          <border>
            <left style="medium">
              <color auto="1"/>
            </left>
            <right style="medium">
              <color auto="1"/>
            </right>
            <top style="medium">
              <color auto="1"/>
            </top>
            <bottom style="medium">
              <color auto="1"/>
            </bottom>
          </border>
        </dxf>
        <dxf>
          <fill>
            <patternFill>
              <bgColor theme="2"/>
            </patternFill>
          </fill>
        </dxf>
        <dxf>
          <font>
            <b/>
            <i val="0"/>
            <sz val="14"/>
          </font>
          <fill>
            <patternFill>
              <bgColor theme="2"/>
            </patternFill>
          </fill>
          <border>
            <left style="medium">
              <color auto="1"/>
            </left>
            <right style="medium">
              <color auto="1"/>
            </right>
            <top style="medium">
              <color auto="1"/>
            </top>
            <bottom style="medium">
              <color auto="1"/>
            </bottom>
          </border>
        </dxf>
        <dxf>
          <fill>
            <patternFill>
              <bgColor theme="2"/>
            </patternFill>
          </fill>
        </dxf>
        <dxf>
          <font>
            <b/>
            <i val="0"/>
            <sz val="14"/>
          </font>
          <fill>
            <patternFill>
              <bgColor theme="2"/>
            </patternFill>
          </fill>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7"/>
            <x14:slicerStyleElement type="selectedItemWithNoData" dxfId="6"/>
          </x14:slicerStyleElements>
        </x14:slicerStyle>
        <x14:slicerStyle name="Slicer Style 1 2">
          <x14:slicerStyleElements>
            <x14:slicerStyleElement type="selectedItemWithData" dxfId="5"/>
            <x14:slicerStyleElement type="selectedItemWithNoData" dxfId="4"/>
          </x14:slicerStyleElements>
        </x14:slicerStyle>
        <x14:slicerStyle name="Slicer Style 1 3">
          <x14:slicerStyleElements>
            <x14:slicerStyleElement type="selectedItemWithData" dxfId="3"/>
            <x14:slicerStyleElement type="selectedItemWithNoData" dxfId="2"/>
          </x14:slicerStyleElements>
        </x14:slicerStyle>
        <x14:slicerStyle name="Slicer Style 1 4">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Relationship Between U-Price &amp; Quantity </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strRef>
              <c:f>'Pivot Tables Analysis'!$Q$14</c:f>
              <c:strCache>
                <c:ptCount val="1"/>
                <c:pt idx="0">
                  <c:v>Sum of Quantity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'Pivot Tables Analysis'!$P$15:$P$24</c:f>
              <c:strCache>
                <c:ptCount val="10"/>
                <c:pt idx="0">
                  <c:v>3</c:v>
                </c:pt>
                <c:pt idx="1">
                  <c:v>3.99</c:v>
                </c:pt>
                <c:pt idx="2">
                  <c:v>4.5</c:v>
                </c:pt>
                <c:pt idx="3">
                  <c:v>6</c:v>
                </c:pt>
                <c:pt idx="4">
                  <c:v>6.5</c:v>
                </c:pt>
                <c:pt idx="5">
                  <c:v>6.99</c:v>
                </c:pt>
                <c:pt idx="6">
                  <c:v>9</c:v>
                </c:pt>
                <c:pt idx="7">
                  <c:v>9.99</c:v>
                </c:pt>
                <c:pt idx="8">
                  <c:v>14.5</c:v>
                </c:pt>
                <c:pt idx="9">
                  <c:v>(blank)</c:v>
                </c:pt>
              </c:strCache>
            </c:strRef>
          </c:xVal>
          <c:yVal>
            <c:numRef>
              <c:f>'Pivot Tables Analysis'!$Q$15:$Q$24</c:f>
              <c:numCache>
                <c:formatCode>General</c:formatCode>
                <c:ptCount val="10"/>
                <c:pt idx="0">
                  <c:v>1008</c:v>
                </c:pt>
                <c:pt idx="1">
                  <c:v>1246</c:v>
                </c:pt>
                <c:pt idx="2">
                  <c:v>2033</c:v>
                </c:pt>
                <c:pt idx="3">
                  <c:v>784</c:v>
                </c:pt>
                <c:pt idx="4">
                  <c:v>1153</c:v>
                </c:pt>
                <c:pt idx="5">
                  <c:v>1011</c:v>
                </c:pt>
                <c:pt idx="6">
                  <c:v>1765</c:v>
                </c:pt>
                <c:pt idx="7">
                  <c:v>932</c:v>
                </c:pt>
                <c:pt idx="8">
                  <c:v>1444</c:v>
                </c:pt>
              </c:numCache>
            </c:numRef>
          </c:yVal>
          <c:smooth val="1"/>
          <c:extLst>
            <c:ext xmlns:c16="http://schemas.microsoft.com/office/drawing/2014/chart" uri="{C3380CC4-5D6E-409C-BE32-E72D297353CC}">
              <c16:uniqueId val="{00000000-1A26-4281-BC34-554B0DAA3FD2}"/>
            </c:ext>
          </c:extLst>
        </c:ser>
        <c:dLbls>
          <c:showLegendKey val="0"/>
          <c:showVal val="0"/>
          <c:showCatName val="0"/>
          <c:showSerName val="0"/>
          <c:showPercent val="0"/>
          <c:showBubbleSize val="0"/>
        </c:dLbls>
        <c:axId val="1587576528"/>
        <c:axId val="1587577008"/>
      </c:scatterChart>
      <c:valAx>
        <c:axId val="1587576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50" b="1">
                    <a:solidFill>
                      <a:sysClr val="windowText" lastClr="000000"/>
                    </a:solidFill>
                  </a:rPr>
                  <a:t>Unit</a:t>
                </a:r>
                <a:r>
                  <a:rPr lang="en-US" sz="1050" b="1" baseline="0">
                    <a:solidFill>
                      <a:sysClr val="windowText" lastClr="000000"/>
                    </a:solidFill>
                  </a:rPr>
                  <a:t> Price</a:t>
                </a:r>
                <a:endParaRPr lang="en-US" sz="105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87577008"/>
        <c:crosses val="autoZero"/>
        <c:crossBetween val="midCat"/>
      </c:valAx>
      <c:valAx>
        <c:axId val="158757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QTY-Sold</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7576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[Final Project_Excel -Solved.xlsx]Pivot Tables Analysis!PivotTable2</c:name>
    <c:fmtId val="3"/>
  </c:pivotSource>
  <c:chart>
    <c:title>
      <c:tx>
        <c:rich>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r>
              <a:rPr lang="en-US" sz="1800" b="1" i="0" u="none" strike="noStrike" kern="1200" spc="0" baseline="0">
                <a:solidFill>
                  <a:schemeClr val="bg1"/>
                </a:solidFill>
                <a:latin typeface="+mn-lt"/>
                <a:ea typeface="+mn-ea"/>
                <a:cs typeface="+mn-cs"/>
              </a:rPr>
              <a:t>Revenue By Channel %</a:t>
            </a:r>
          </a:p>
        </c:rich>
      </c:tx>
      <c:layout>
        <c:manualLayout>
          <c:xMode val="edge"/>
          <c:yMode val="edge"/>
          <c:x val="0.18999918211356726"/>
          <c:y val="3.0376317714384062E-2"/>
        </c:manualLayout>
      </c:layout>
      <c:overlay val="0"/>
      <c:spPr>
        <a:solidFill>
          <a:schemeClr val="accent1"/>
        </a:solidFill>
        <a:ln>
          <a:noFill/>
        </a:ln>
        <a:effectLst/>
      </c:spPr>
      <c:txPr>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tx2">
              <a:lumMod val="25000"/>
              <a:lumOff val="75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tx2">
              <a:lumMod val="10000"/>
              <a:lumOff val="9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tx2">
              <a:lumMod val="10000"/>
              <a:lumOff val="9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tx2">
              <a:lumMod val="25000"/>
              <a:lumOff val="75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tx2">
              <a:lumMod val="10000"/>
              <a:lumOff val="9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tx2">
              <a:lumMod val="25000"/>
              <a:lumOff val="75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tx2">
              <a:lumMod val="10000"/>
              <a:lumOff val="9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tx2">
              <a:lumMod val="25000"/>
              <a:lumOff val="75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tx2">
              <a:lumMod val="10000"/>
              <a:lumOff val="9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tx2">
              <a:lumMod val="25000"/>
              <a:lumOff val="75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tx2">
              <a:lumMod val="50000"/>
              <a:lumOff val="50000"/>
            </a:schemeClr>
          </a:solidFill>
          <a:ln>
            <a:noFill/>
          </a:ln>
          <a:effectLst/>
        </c:spP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tx2">
              <a:lumMod val="50000"/>
              <a:lumOff val="50000"/>
            </a:schemeClr>
          </a:solidFill>
          <a:ln>
            <a:no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tx2">
              <a:lumMod val="10000"/>
              <a:lumOff val="90000"/>
            </a:schemeClr>
          </a:solidFill>
          <a:ln>
            <a:noFill/>
          </a:ln>
          <a:effectLst/>
        </c:spPr>
        <c:dLbl>
          <c:idx val="0"/>
          <c:layout>
            <c:manualLayout>
              <c:x val="0.23140194366105943"/>
              <c:y val="5.6376804764110972E-3"/>
            </c:manualLayout>
          </c:layout>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568249055573257"/>
                  <c:h val="0.28632639670041243"/>
                </c:manualLayout>
              </c15:layout>
            </c:ext>
          </c:extLst>
        </c:dLbl>
      </c:pivotFmt>
      <c:pivotFmt>
        <c:idx val="32"/>
        <c:spPr>
          <a:solidFill>
            <a:schemeClr val="tx2">
              <a:lumMod val="25000"/>
              <a:lumOff val="75000"/>
            </a:schemeClr>
          </a:solidFill>
          <a:ln>
            <a:noFill/>
          </a:ln>
          <a:effectLst/>
        </c:spPr>
        <c:dLbl>
          <c:idx val="0"/>
          <c:layout>
            <c:manualLayout>
              <c:x val="0.24538070608820955"/>
              <c:y val="4.8804268318919153E-2"/>
            </c:manualLayout>
          </c:layout>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524160635989866"/>
                  <c:h val="0.1903576115485564"/>
                </c:manualLayout>
              </c15:layout>
            </c:ext>
          </c:extLst>
        </c:dLbl>
      </c:pivotFmt>
      <c:pivotFmt>
        <c:idx val="33"/>
        <c:spPr>
          <a:solidFill>
            <a:schemeClr val="tx2">
              <a:lumMod val="50000"/>
              <a:lumOff val="50000"/>
            </a:schemeClr>
          </a:solidFill>
          <a:ln>
            <a:noFill/>
          </a:ln>
          <a:effectLst/>
        </c:spPr>
        <c:dLbl>
          <c:idx val="0"/>
          <c:layout>
            <c:manualLayout>
              <c:x val="-0.1567957130358705"/>
              <c:y val="-1.2020710525938389E-2"/>
            </c:manualLayout>
          </c:layout>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528073696670267"/>
                  <c:h val="0.28647476442493869"/>
                </c:manualLayout>
              </c15:layout>
            </c:ext>
          </c:extLst>
        </c:dLbl>
      </c:pivotFmt>
    </c:pivotFmts>
    <c:plotArea>
      <c:layout>
        <c:manualLayout>
          <c:layoutTarget val="inner"/>
          <c:xMode val="edge"/>
          <c:yMode val="edge"/>
          <c:x val="0.19484691300214008"/>
          <c:y val="0.26300123560673483"/>
          <c:w val="0.47950694674509098"/>
          <c:h val="0.63723110505860936"/>
        </c:manualLayout>
      </c:layout>
      <c:doughnutChart>
        <c:varyColors val="1"/>
        <c:ser>
          <c:idx val="0"/>
          <c:order val="0"/>
          <c:tx>
            <c:strRef>
              <c:f>'Pivot Tables Analysis'!$B$10</c:f>
              <c:strCache>
                <c:ptCount val="1"/>
                <c:pt idx="0">
                  <c:v>Total</c:v>
                </c:pt>
              </c:strCache>
            </c:strRef>
          </c:tx>
          <c:spPr>
            <a:solidFill>
              <a:schemeClr val="tx2">
                <a:lumMod val="50000"/>
                <a:lumOff val="50000"/>
              </a:schemeClr>
            </a:solidFill>
          </c:spPr>
          <c:explosion val="3"/>
          <c:dPt>
            <c:idx val="0"/>
            <c:bubble3D val="0"/>
            <c:spPr>
              <a:solidFill>
                <a:schemeClr val="tx2">
                  <a:lumMod val="10000"/>
                  <a:lumOff val="90000"/>
                </a:schemeClr>
              </a:solidFill>
              <a:ln>
                <a:noFill/>
              </a:ln>
              <a:effectLst/>
            </c:spPr>
            <c:extLst>
              <c:ext xmlns:c16="http://schemas.microsoft.com/office/drawing/2014/chart" uri="{C3380CC4-5D6E-409C-BE32-E72D297353CC}">
                <c16:uniqueId val="{00000001-FC22-4B0E-8200-23F22DB9F04F}"/>
              </c:ext>
            </c:extLst>
          </c:dPt>
          <c:dPt>
            <c:idx val="1"/>
            <c:bubble3D val="0"/>
            <c:spPr>
              <a:solidFill>
                <a:schemeClr val="tx2">
                  <a:lumMod val="25000"/>
                  <a:lumOff val="75000"/>
                </a:schemeClr>
              </a:solidFill>
              <a:ln>
                <a:noFill/>
              </a:ln>
              <a:effectLst/>
            </c:spPr>
            <c:extLst>
              <c:ext xmlns:c16="http://schemas.microsoft.com/office/drawing/2014/chart" uri="{C3380CC4-5D6E-409C-BE32-E72D297353CC}">
                <c16:uniqueId val="{00000003-FC22-4B0E-8200-23F22DB9F04F}"/>
              </c:ext>
            </c:extLst>
          </c:dPt>
          <c:dPt>
            <c:idx val="2"/>
            <c:bubble3D val="0"/>
            <c:spPr>
              <a:solidFill>
                <a:schemeClr val="tx2">
                  <a:lumMod val="50000"/>
                  <a:lumOff val="50000"/>
                </a:schemeClr>
              </a:solidFill>
              <a:ln>
                <a:noFill/>
              </a:ln>
              <a:effectLst/>
            </c:spPr>
            <c:extLst>
              <c:ext xmlns:c16="http://schemas.microsoft.com/office/drawing/2014/chart" uri="{C3380CC4-5D6E-409C-BE32-E72D297353CC}">
                <c16:uniqueId val="{00000005-FC22-4B0E-8200-23F22DB9F04F}"/>
              </c:ext>
            </c:extLst>
          </c:dPt>
          <c:dLbls>
            <c:dLbl>
              <c:idx val="0"/>
              <c:layout>
                <c:manualLayout>
                  <c:x val="0.23140194366105943"/>
                  <c:y val="5.6376804764110972E-3"/>
                </c:manualLayout>
              </c:layout>
              <c:showLegendKey val="0"/>
              <c:showVal val="1"/>
              <c:showCatName val="1"/>
              <c:showSerName val="0"/>
              <c:showPercent val="0"/>
              <c:showBubbleSize val="0"/>
              <c:extLst>
                <c:ext xmlns:c15="http://schemas.microsoft.com/office/drawing/2012/chart" uri="{CE6537A1-D6FC-4f65-9D91-7224C49458BB}">
                  <c15:layout>
                    <c:manualLayout>
                      <c:w val="0.23568249055573257"/>
                      <c:h val="0.28632639670041243"/>
                    </c:manualLayout>
                  </c15:layout>
                </c:ext>
                <c:ext xmlns:c16="http://schemas.microsoft.com/office/drawing/2014/chart" uri="{C3380CC4-5D6E-409C-BE32-E72D297353CC}">
                  <c16:uniqueId val="{00000001-FC22-4B0E-8200-23F22DB9F04F}"/>
                </c:ext>
              </c:extLst>
            </c:dLbl>
            <c:dLbl>
              <c:idx val="1"/>
              <c:layout>
                <c:manualLayout>
                  <c:x val="0.24538070608820955"/>
                  <c:y val="4.8804268318919153E-2"/>
                </c:manualLayout>
              </c:layout>
              <c:showLegendKey val="0"/>
              <c:showVal val="1"/>
              <c:showCatName val="1"/>
              <c:showSerName val="0"/>
              <c:showPercent val="0"/>
              <c:showBubbleSize val="0"/>
              <c:extLst>
                <c:ext xmlns:c15="http://schemas.microsoft.com/office/drawing/2012/chart" uri="{CE6537A1-D6FC-4f65-9D91-7224C49458BB}">
                  <c15:layout>
                    <c:manualLayout>
                      <c:w val="0.29524160635989866"/>
                      <c:h val="0.1903576115485564"/>
                    </c:manualLayout>
                  </c15:layout>
                </c:ext>
                <c:ext xmlns:c16="http://schemas.microsoft.com/office/drawing/2014/chart" uri="{C3380CC4-5D6E-409C-BE32-E72D297353CC}">
                  <c16:uniqueId val="{00000003-FC22-4B0E-8200-23F22DB9F04F}"/>
                </c:ext>
              </c:extLst>
            </c:dLbl>
            <c:dLbl>
              <c:idx val="2"/>
              <c:layout>
                <c:manualLayout>
                  <c:x val="-0.1567957130358705"/>
                  <c:y val="-1.2020710525938389E-2"/>
                </c:manualLayout>
              </c:layout>
              <c:showLegendKey val="0"/>
              <c:showVal val="1"/>
              <c:showCatName val="1"/>
              <c:showSerName val="0"/>
              <c:showPercent val="0"/>
              <c:showBubbleSize val="0"/>
              <c:extLst>
                <c:ext xmlns:c15="http://schemas.microsoft.com/office/drawing/2012/chart" uri="{CE6537A1-D6FC-4f65-9D91-7224C49458BB}">
                  <c15:layout>
                    <c:manualLayout>
                      <c:w val="0.22528073696670267"/>
                      <c:h val="0.28647476442493869"/>
                    </c:manualLayout>
                  </c15:layout>
                </c:ext>
                <c:ext xmlns:c16="http://schemas.microsoft.com/office/drawing/2014/chart" uri="{C3380CC4-5D6E-409C-BE32-E72D297353CC}">
                  <c16:uniqueId val="{00000005-FC22-4B0E-8200-23F22DB9F04F}"/>
                </c:ext>
              </c:extLst>
            </c:dLbl>
            <c:spPr>
              <a:solidFill>
                <a:schemeClr val="accent1"/>
              </a:solid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Analysis'!$A$11:$A$14</c:f>
              <c:strCache>
                <c:ptCount val="3"/>
                <c:pt idx="0">
                  <c:v>Direct</c:v>
                </c:pt>
                <c:pt idx="1">
                  <c:v>Online</c:v>
                </c:pt>
                <c:pt idx="2">
                  <c:v>Retail</c:v>
                </c:pt>
              </c:strCache>
            </c:strRef>
          </c:cat>
          <c:val>
            <c:numRef>
              <c:f>'Pivot Tables Analysis'!$B$11:$B$14</c:f>
              <c:numCache>
                <c:formatCode>0%</c:formatCode>
                <c:ptCount val="3"/>
                <c:pt idx="0">
                  <c:v>0.12546462085084994</c:v>
                </c:pt>
                <c:pt idx="1">
                  <c:v>0.45796093701824414</c:v>
                </c:pt>
                <c:pt idx="2">
                  <c:v>0.41657444213090605</c:v>
                </c:pt>
              </c:numCache>
            </c:numRef>
          </c:val>
          <c:extLst>
            <c:ext xmlns:c16="http://schemas.microsoft.com/office/drawing/2014/chart" uri="{C3380CC4-5D6E-409C-BE32-E72D297353CC}">
              <c16:uniqueId val="{00000006-FC22-4B0E-8200-23F22DB9F04F}"/>
            </c:ext>
          </c:extLst>
        </c:ser>
        <c:dLbls>
          <c:showLegendKey val="0"/>
          <c:showVal val="1"/>
          <c:showCatName val="0"/>
          <c:showSerName val="0"/>
          <c:showPercent val="0"/>
          <c:showBubbleSize val="0"/>
          <c:showLeaderLines val="1"/>
        </c:dLbls>
        <c:firstSliceAng val="22"/>
        <c:holeSize val="56"/>
      </c:doughnut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glow rad="101600">
        <a:schemeClr val="accent1">
          <a:satMod val="175000"/>
          <a:alpha val="40000"/>
        </a:schemeClr>
      </a:glow>
      <a:outerShdw blurRad="63500" sx="102000" sy="102000" algn="c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Project_Excel -Solved.xlsx]Pivot Tables Analysis!PivotTable8</c:name>
    <c:fmtId val="7"/>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1800" b="0" i="0" u="none" strike="noStrike" baseline="0">
                <a:solidFill>
                  <a:schemeClr val="bg1"/>
                </a:solidFill>
                <a:effectLst/>
              </a:rPr>
              <a:t>Sales Channel Analysis(T-REV vs T-QTY) </a:t>
            </a:r>
            <a:endParaRPr lang="en-US" sz="1800" b="0">
              <a:solidFill>
                <a:schemeClr val="bg1"/>
              </a:solidFill>
            </a:endParaRPr>
          </a:p>
        </c:rich>
      </c:tx>
      <c:layout>
        <c:manualLayout>
          <c:xMode val="edge"/>
          <c:yMode val="edge"/>
          <c:x val="0.14388294260916867"/>
          <c:y val="3.037644112397089E-2"/>
        </c:manualLayout>
      </c:layout>
      <c:overlay val="0"/>
      <c:spPr>
        <a:solidFill>
          <a:schemeClr val="accent1"/>
        </a:solid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5"/>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6428851271876313E-3"/>
              <c:y val="1.1217949071836169E-2"/>
            </c:manualLayout>
          </c:layout>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7.0536064089845394E-3"/>
              <c:y val="2.8044872679589905E-3"/>
            </c:manualLayout>
          </c:layout>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116081922695362E-2"/>
              <c:y val="-5.1415005962046151E-17"/>
            </c:manualLayout>
          </c:layout>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2321638453907233E-3"/>
              <c:y val="-1.028300119240923E-16"/>
            </c:manualLayout>
          </c:layout>
          <c:spPr>
            <a:solidFill>
              <a:srgbClr val="15608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0381943613792006"/>
              <c:y val="-3.161697159202654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618818710802796"/>
              <c:y val="-4.0766001685454967E-1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93885760693121"/>
                  <c:h val="0.11788367635099657"/>
                </c:manualLayout>
              </c15:layout>
            </c:ext>
          </c:extLst>
        </c:dLbl>
      </c:pivotFmt>
      <c:pivotFmt>
        <c:idx val="13"/>
        <c:spPr>
          <a:solidFill>
            <a:schemeClr val="accent1"/>
          </a:solidFill>
          <a:ln>
            <a:noFill/>
          </a:ln>
          <a:effectLst/>
        </c:spPr>
      </c:pivotFmt>
      <c:pivotFmt>
        <c:idx val="14"/>
        <c:spPr>
          <a:solidFill>
            <a:srgbClr val="5B9BD5">
              <a:lumMod val="20000"/>
              <a:lumOff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30381943613792006"/>
              <c:y val="-3.161697159202654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618818710802796"/>
              <c:y val="-4.0766001685454967E-1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93885760693121"/>
                  <c:h val="0.11788367635099657"/>
                </c:manualLayout>
              </c15:layout>
            </c:ext>
          </c:extLst>
        </c:dLbl>
      </c:pivotFmt>
      <c:pivotFmt>
        <c:idx val="18"/>
        <c:spPr>
          <a:solidFill>
            <a:srgbClr val="5B9BD5">
              <a:lumMod val="20000"/>
              <a:lumOff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30381943613792006"/>
              <c:y val="-3.161697159202654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1618818710802796"/>
              <c:y val="-4.0766001685454967E-1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93885760693121"/>
                  <c:h val="0.11788367635099657"/>
                </c:manualLayout>
              </c15:layout>
            </c:ext>
          </c:extLst>
        </c:dLbl>
      </c:pivotFmt>
      <c:pivotFmt>
        <c:idx val="22"/>
        <c:spPr>
          <a:solidFill>
            <a:srgbClr val="5B9BD5">
              <a:lumMod val="20000"/>
              <a:lumOff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30381943613792006"/>
              <c:y val="-3.161697159202654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1618818710802796"/>
              <c:y val="-4.0766001685454967E-1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93885760693121"/>
                  <c:h val="0.11788367635099657"/>
                </c:manualLayout>
              </c15:layout>
            </c:ext>
          </c:extLst>
        </c:dLbl>
      </c:pivotFmt>
      <c:pivotFmt>
        <c:idx val="26"/>
        <c:spPr>
          <a:solidFill>
            <a:srgbClr val="5B9BD5">
              <a:lumMod val="20000"/>
              <a:lumOff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2956525783122"/>
          <c:y val="0.22293075559533837"/>
          <c:w val="0.69987060641211163"/>
          <c:h val="0.70412270127471854"/>
        </c:manualLayout>
      </c:layout>
      <c:barChart>
        <c:barDir val="bar"/>
        <c:grouping val="clustered"/>
        <c:varyColors val="0"/>
        <c:ser>
          <c:idx val="0"/>
          <c:order val="0"/>
          <c:tx>
            <c:strRef>
              <c:f>'Pivot Tables Analysis'!$G$2</c:f>
              <c:strCache>
                <c:ptCount val="1"/>
                <c:pt idx="0">
                  <c:v>Total Revenue</c:v>
                </c:pt>
              </c:strCache>
            </c:strRef>
          </c:tx>
          <c:spPr>
            <a:solidFill>
              <a:schemeClr val="accent1"/>
            </a:solidFill>
            <a:ln>
              <a:noFill/>
            </a:ln>
            <a:effectLst/>
          </c:spPr>
          <c:invertIfNegative val="0"/>
          <c:dLbls>
            <c:dLbl>
              <c:idx val="1"/>
              <c:layout>
                <c:manualLayout>
                  <c:x val="-0.30381943613792006"/>
                  <c:y val="-3.16169715920265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6F-457E-844B-624F5BC15C18}"/>
                </c:ext>
              </c:extLst>
            </c:dLbl>
            <c:dLbl>
              <c:idx val="2"/>
              <c:layout>
                <c:manualLayout>
                  <c:x val="-0.1618818710802796"/>
                  <c:y val="-4.0766001685454967E-17"/>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493885760693121"/>
                      <c:h val="0.11788367635099657"/>
                    </c:manualLayout>
                  </c15:layout>
                </c:ext>
                <c:ext xmlns:c16="http://schemas.microsoft.com/office/drawing/2014/chart" uri="{C3380CC4-5D6E-409C-BE32-E72D297353CC}">
                  <c16:uniqueId val="{00000001-8F6F-457E-844B-624F5BC15C1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Analysis'!$F$3:$F$6</c:f>
              <c:strCache>
                <c:ptCount val="3"/>
                <c:pt idx="0">
                  <c:v>Online</c:v>
                </c:pt>
                <c:pt idx="1">
                  <c:v>Retail</c:v>
                </c:pt>
                <c:pt idx="2">
                  <c:v>Direct</c:v>
                </c:pt>
              </c:strCache>
            </c:strRef>
          </c:cat>
          <c:val>
            <c:numRef>
              <c:f>'Pivot Tables Analysis'!$G$3:$G$6</c:f>
              <c:numCache>
                <c:formatCode>_("$"* #,##0_);_("$"* \(#,##0\);_("$"* "-"??_);_(@_)</c:formatCode>
                <c:ptCount val="3"/>
                <c:pt idx="0">
                  <c:v>37801.51999999999</c:v>
                </c:pt>
                <c:pt idx="1">
                  <c:v>34385.350000000006</c:v>
                </c:pt>
                <c:pt idx="2">
                  <c:v>10356.24</c:v>
                </c:pt>
              </c:numCache>
            </c:numRef>
          </c:val>
          <c:extLst>
            <c:ext xmlns:c16="http://schemas.microsoft.com/office/drawing/2014/chart" uri="{C3380CC4-5D6E-409C-BE32-E72D297353CC}">
              <c16:uniqueId val="{00000002-8F6F-457E-844B-624F5BC15C18}"/>
            </c:ext>
          </c:extLst>
        </c:ser>
        <c:ser>
          <c:idx val="1"/>
          <c:order val="1"/>
          <c:tx>
            <c:strRef>
              <c:f>'Pivot Tables Analysis'!$H$2</c:f>
              <c:strCache>
                <c:ptCount val="1"/>
                <c:pt idx="0">
                  <c:v>T-Quantity</c:v>
                </c:pt>
              </c:strCache>
            </c:strRef>
          </c:tx>
          <c:spPr>
            <a:solidFill>
              <a:srgbClr val="5B9BD5">
                <a:lumMod val="20000"/>
                <a:lumOff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Analysis'!$F$3:$F$6</c:f>
              <c:strCache>
                <c:ptCount val="3"/>
                <c:pt idx="0">
                  <c:v>Online</c:v>
                </c:pt>
                <c:pt idx="1">
                  <c:v>Retail</c:v>
                </c:pt>
                <c:pt idx="2">
                  <c:v>Direct</c:v>
                </c:pt>
              </c:strCache>
            </c:strRef>
          </c:cat>
          <c:val>
            <c:numRef>
              <c:f>'Pivot Tables Analysis'!$H$3:$H$6</c:f>
              <c:numCache>
                <c:formatCode>_(* #,##0_);_(* \(#,##0\);_(* "-"??_);_(@_)</c:formatCode>
                <c:ptCount val="3"/>
                <c:pt idx="0">
                  <c:v>5153</c:v>
                </c:pt>
                <c:pt idx="1">
                  <c:v>5025</c:v>
                </c:pt>
                <c:pt idx="2">
                  <c:v>1198</c:v>
                </c:pt>
              </c:numCache>
            </c:numRef>
          </c:val>
          <c:extLst>
            <c:ext xmlns:c16="http://schemas.microsoft.com/office/drawing/2014/chart" uri="{C3380CC4-5D6E-409C-BE32-E72D297353CC}">
              <c16:uniqueId val="{00000003-8F6F-457E-844B-624F5BC15C18}"/>
            </c:ext>
          </c:extLst>
        </c:ser>
        <c:dLbls>
          <c:dLblPos val="outEnd"/>
          <c:showLegendKey val="0"/>
          <c:showVal val="1"/>
          <c:showCatName val="0"/>
          <c:showSerName val="0"/>
          <c:showPercent val="0"/>
          <c:showBubbleSize val="0"/>
        </c:dLbls>
        <c:gapWidth val="50"/>
        <c:axId val="927910400"/>
        <c:axId val="927922880"/>
      </c:barChart>
      <c:catAx>
        <c:axId val="92791040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927922880"/>
        <c:crosses val="autoZero"/>
        <c:auto val="1"/>
        <c:lblAlgn val="ctr"/>
        <c:lblOffset val="100"/>
        <c:noMultiLvlLbl val="0"/>
      </c:catAx>
      <c:valAx>
        <c:axId val="927922880"/>
        <c:scaling>
          <c:orientation val="minMax"/>
        </c:scaling>
        <c:delete val="1"/>
        <c:axPos val="t"/>
        <c:numFmt formatCode="_(&quot;$&quot;* #,##0_);_(&quot;$&quot;* \(#,##0\);_(&quot;$&quot;* &quot;-&quot;??_);_(@_)" sourceLinked="1"/>
        <c:majorTickMark val="out"/>
        <c:minorTickMark val="none"/>
        <c:tickLblPos val="nextTo"/>
        <c:crossAx val="927910400"/>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glow rad="101600">
        <a:schemeClr val="accent1">
          <a:satMod val="175000"/>
          <a:alpha val="40000"/>
        </a:schemeClr>
      </a:glow>
      <a:outerShdw blurRad="63500" sx="102000" sy="102000" algn="c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Project_Excel -Solved.xlsx]Pivot Tables Analysis!PivotTable7</c:name>
    <c:fmtId val="9"/>
  </c:pivotSource>
  <c:chart>
    <c:title>
      <c:tx>
        <c:rich>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r>
              <a:rPr lang="en-US" sz="1600" b="1">
                <a:solidFill>
                  <a:schemeClr val="bg1"/>
                </a:solidFill>
              </a:rPr>
              <a:t>Sales By Products Contribution </a:t>
            </a:r>
          </a:p>
        </c:rich>
      </c:tx>
      <c:overlay val="0"/>
      <c:spPr>
        <a:solidFill>
          <a:srgbClr val="5B9BD5">
            <a:lumMod val="50000"/>
          </a:srgbClr>
        </a:solidFill>
        <a:ln>
          <a:noFill/>
        </a:ln>
        <a:effectLst/>
      </c:spPr>
      <c:txPr>
        <a:bodyPr rot="0" spcFirstLastPara="1" vertOverflow="ellipsis" vert="horz" wrap="square" anchor="ctr" anchorCtr="1"/>
        <a:lstStyle/>
        <a:p>
          <a:pPr algn="ctr" rtl="0">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4472C4">
                <a:lumMod val="20000"/>
                <a:lumOff val="80000"/>
              </a:srgbClr>
            </a:solid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4472C4">
                <a:lumMod val="20000"/>
                <a:lumOff val="80000"/>
              </a:srgbClr>
            </a:solid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4472C4">
                <a:lumMod val="20000"/>
                <a:lumOff val="80000"/>
              </a:srgb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rgbClr val="4472C4">
                <a:lumMod val="20000"/>
                <a:lumOff val="80000"/>
              </a:srgb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rgbClr val="4472C4">
                <a:lumMod val="20000"/>
                <a:lumOff val="80000"/>
              </a:srgb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B9BD5">
              <a:lumMod val="50000"/>
            </a:srgbClr>
          </a:solidFill>
          <a:ln>
            <a:noFill/>
          </a:ln>
          <a:effectLst/>
        </c:spPr>
        <c:marker>
          <c:symbol val="none"/>
        </c:marker>
        <c:dLbl>
          <c:idx val="0"/>
          <c:spPr>
            <a:solidFill>
              <a:srgbClr val="4472C4">
                <a:lumMod val="20000"/>
                <a:lumOff val="80000"/>
              </a:srgb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Analysis'!$G$18</c:f>
              <c:strCache>
                <c:ptCount val="1"/>
                <c:pt idx="0">
                  <c:v>Total</c:v>
                </c:pt>
              </c:strCache>
            </c:strRef>
          </c:tx>
          <c:spPr>
            <a:solidFill>
              <a:srgbClr val="5B9BD5">
                <a:lumMod val="50000"/>
              </a:srgbClr>
            </a:solidFill>
            <a:ln>
              <a:noFill/>
            </a:ln>
            <a:effectLst/>
          </c:spPr>
          <c:invertIfNegative val="0"/>
          <c:dLbls>
            <c:spPr>
              <a:solidFill>
                <a:srgbClr val="4472C4">
                  <a:lumMod val="20000"/>
                  <a:lumOff val="80000"/>
                </a:srgb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Analysis'!$F$19:$F$30</c:f>
              <c:strCache>
                <c:ptCount val="11"/>
                <c:pt idx="0">
                  <c:v>Super Soft Bulk - 2 Litres</c:v>
                </c:pt>
                <c:pt idx="1">
                  <c:v>Detafast Stain Remover - 800ml</c:v>
                </c:pt>
                <c:pt idx="2">
                  <c:v>Super Soft - 1 Litre</c:v>
                </c:pt>
                <c:pt idx="3">
                  <c:v>Super Soft - 500ml</c:v>
                </c:pt>
                <c:pt idx="4">
                  <c:v>Pure Soft Detergent - 250ml</c:v>
                </c:pt>
                <c:pt idx="5">
                  <c:v>Pure Soft Detergent - 200ml</c:v>
                </c:pt>
                <c:pt idx="6">
                  <c:v>Detafast Stain Remover - 200ml</c:v>
                </c:pt>
                <c:pt idx="7">
                  <c:v>Detafast Stain Remover - 100ml</c:v>
                </c:pt>
                <c:pt idx="8">
                  <c:v>Super Soft - 250ml</c:v>
                </c:pt>
                <c:pt idx="9">
                  <c:v>Pure Soft Detergent - 100ml</c:v>
                </c:pt>
                <c:pt idx="10">
                  <c:v>Pure Soft Detergent - 500ml</c:v>
                </c:pt>
              </c:strCache>
            </c:strRef>
          </c:cat>
          <c:val>
            <c:numRef>
              <c:f>'Pivot Tables Analysis'!$G$19:$G$30</c:f>
              <c:numCache>
                <c:formatCode>0%</c:formatCode>
                <c:ptCount val="11"/>
                <c:pt idx="0">
                  <c:v>0.25366138978771213</c:v>
                </c:pt>
                <c:pt idx="1">
                  <c:v>0.19244489334118861</c:v>
                </c:pt>
                <c:pt idx="2">
                  <c:v>0.11279778530273456</c:v>
                </c:pt>
                <c:pt idx="3">
                  <c:v>8.5614535241039499E-2</c:v>
                </c:pt>
                <c:pt idx="4">
                  <c:v>7.397952415410565E-2</c:v>
                </c:pt>
                <c:pt idx="5">
                  <c:v>6.0229618195873656E-2</c:v>
                </c:pt>
                <c:pt idx="6">
                  <c:v>5.8745060611358112E-2</c:v>
                </c:pt>
                <c:pt idx="7">
                  <c:v>5.6988402787343483E-2</c:v>
                </c:pt>
                <c:pt idx="8">
                  <c:v>3.6853469659672379E-2</c:v>
                </c:pt>
                <c:pt idx="9">
                  <c:v>3.663540179186367E-2</c:v>
                </c:pt>
                <c:pt idx="10">
                  <c:v>3.2049919127108244E-2</c:v>
                </c:pt>
              </c:numCache>
            </c:numRef>
          </c:val>
          <c:extLst>
            <c:ext xmlns:c16="http://schemas.microsoft.com/office/drawing/2014/chart" uri="{C3380CC4-5D6E-409C-BE32-E72D297353CC}">
              <c16:uniqueId val="{00000000-6D04-4D53-AAD7-369D2EE6B39B}"/>
            </c:ext>
          </c:extLst>
        </c:ser>
        <c:dLbls>
          <c:dLblPos val="outEnd"/>
          <c:showLegendKey val="0"/>
          <c:showVal val="1"/>
          <c:showCatName val="0"/>
          <c:showSerName val="0"/>
          <c:showPercent val="0"/>
          <c:showBubbleSize val="0"/>
        </c:dLbls>
        <c:gapWidth val="50"/>
        <c:axId val="561286927"/>
        <c:axId val="561271087"/>
      </c:barChart>
      <c:catAx>
        <c:axId val="56128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561271087"/>
        <c:crosses val="autoZero"/>
        <c:auto val="1"/>
        <c:lblAlgn val="ctr"/>
        <c:lblOffset val="100"/>
        <c:noMultiLvlLbl val="0"/>
      </c:catAx>
      <c:valAx>
        <c:axId val="561271087"/>
        <c:scaling>
          <c:orientation val="minMax"/>
        </c:scaling>
        <c:delete val="1"/>
        <c:axPos val="b"/>
        <c:numFmt formatCode="0%" sourceLinked="1"/>
        <c:majorTickMark val="out"/>
        <c:minorTickMark val="none"/>
        <c:tickLblPos val="nextTo"/>
        <c:crossAx val="561286927"/>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glow rad="139700">
        <a:srgbClr val="4472C4">
          <a:satMod val="175000"/>
          <a:alpha val="40000"/>
        </a:srgbClr>
      </a:glow>
      <a:outerShdw blurRad="63500" sx="102000" sy="102000" algn="ctr" rotWithShape="0">
        <a:prstClr val="black">
          <a:alpha val="40000"/>
        </a:prstClr>
      </a:outerShdw>
    </a:effectLst>
    <a:scene3d>
      <a:camera prst="orthographicFront"/>
      <a:lightRig rig="threePt" dir="t"/>
    </a:scene3d>
    <a:sp3d>
      <a:bevelT w="139700" h="139700"/>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Project_Excel -Solved.xlsx]Pivot Tables Analysis!PivotTable4</c:name>
    <c:fmtId val="3"/>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b="1">
                <a:solidFill>
                  <a:schemeClr val="bg1"/>
                </a:solidFill>
              </a:rPr>
              <a:t>Top 5 Products By Sales &amp; Quantity</a:t>
            </a:r>
          </a:p>
        </c:rich>
      </c:tx>
      <c:layout>
        <c:manualLayout>
          <c:xMode val="edge"/>
          <c:yMode val="edge"/>
          <c:x val="0.1973133786326331"/>
          <c:y val="1.282225138524351E-2"/>
        </c:manualLayout>
      </c:layout>
      <c:overlay val="0"/>
      <c:spPr>
        <a:solidFill>
          <a:schemeClr val="accent1"/>
        </a:solid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5"/>
        <c:spPr>
          <a:solidFill>
            <a:schemeClr val="accent1"/>
          </a:solidFill>
          <a:ln>
            <a:noFill/>
          </a:ln>
          <a:effectLst/>
        </c:spPr>
        <c:marker>
          <c:symbol val="circle"/>
          <c:size val="10"/>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2199101977438"/>
          <c:y val="0.22293075559533837"/>
          <c:w val="0.77876811421261949"/>
          <c:h val="0.62220326625838429"/>
        </c:manualLayout>
      </c:layout>
      <c:barChart>
        <c:barDir val="col"/>
        <c:grouping val="clustered"/>
        <c:varyColors val="0"/>
        <c:ser>
          <c:idx val="0"/>
          <c:order val="0"/>
          <c:tx>
            <c:strRef>
              <c:f>'Pivot Tables Analysis'!$B$33</c:f>
              <c:strCache>
                <c:ptCount val="1"/>
                <c:pt idx="0">
                  <c:v>Total Revenue</c:v>
                </c:pt>
              </c:strCache>
            </c:strRef>
          </c:tx>
          <c:spPr>
            <a:solidFill>
              <a:schemeClr val="accent1"/>
            </a:solidFill>
            <a:ln>
              <a:noFill/>
            </a:ln>
            <a:effectLst/>
          </c:spPr>
          <c:invertIfNegative val="0"/>
          <c:dLbls>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Analysis'!$A$34:$A$39</c:f>
              <c:strCache>
                <c:ptCount val="5"/>
                <c:pt idx="0">
                  <c:v>France</c:v>
                </c:pt>
                <c:pt idx="1">
                  <c:v>Malawi</c:v>
                </c:pt>
                <c:pt idx="2">
                  <c:v>Canada</c:v>
                </c:pt>
                <c:pt idx="3">
                  <c:v>Burkina Faso</c:v>
                </c:pt>
                <c:pt idx="4">
                  <c:v>Colombia</c:v>
                </c:pt>
              </c:strCache>
            </c:strRef>
          </c:cat>
          <c:val>
            <c:numRef>
              <c:f>'Pivot Tables Analysis'!$B$34:$B$39</c:f>
              <c:numCache>
                <c:formatCode>_("$"* #,##0_);_("$"* \(#,##0\);_("$"* "-"??_);_(@_)</c:formatCode>
                <c:ptCount val="5"/>
                <c:pt idx="0">
                  <c:v>3016</c:v>
                </c:pt>
                <c:pt idx="1">
                  <c:v>2856.5</c:v>
                </c:pt>
                <c:pt idx="2">
                  <c:v>2845.59</c:v>
                </c:pt>
                <c:pt idx="3">
                  <c:v>2628.2699999999995</c:v>
                </c:pt>
                <c:pt idx="4">
                  <c:v>2552</c:v>
                </c:pt>
              </c:numCache>
            </c:numRef>
          </c:val>
          <c:extLst>
            <c:ext xmlns:c16="http://schemas.microsoft.com/office/drawing/2014/chart" uri="{C3380CC4-5D6E-409C-BE32-E72D297353CC}">
              <c16:uniqueId val="{00000000-CADC-4183-9CFE-6B00C6A7E756}"/>
            </c:ext>
          </c:extLst>
        </c:ser>
        <c:dLbls>
          <c:showLegendKey val="0"/>
          <c:showVal val="0"/>
          <c:showCatName val="0"/>
          <c:showSerName val="0"/>
          <c:showPercent val="0"/>
          <c:showBubbleSize val="0"/>
        </c:dLbls>
        <c:gapWidth val="150"/>
        <c:axId val="927910400"/>
        <c:axId val="927922880"/>
      </c:barChart>
      <c:lineChart>
        <c:grouping val="standard"/>
        <c:varyColors val="0"/>
        <c:ser>
          <c:idx val="1"/>
          <c:order val="1"/>
          <c:tx>
            <c:strRef>
              <c:f>'Pivot Tables Analysis'!$C$33</c:f>
              <c:strCache>
                <c:ptCount val="1"/>
                <c:pt idx="0">
                  <c:v>Total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Analysis'!$A$34:$A$39</c:f>
              <c:strCache>
                <c:ptCount val="5"/>
                <c:pt idx="0">
                  <c:v>France</c:v>
                </c:pt>
                <c:pt idx="1">
                  <c:v>Malawi</c:v>
                </c:pt>
                <c:pt idx="2">
                  <c:v>Canada</c:v>
                </c:pt>
                <c:pt idx="3">
                  <c:v>Burkina Faso</c:v>
                </c:pt>
                <c:pt idx="4">
                  <c:v>Colombia</c:v>
                </c:pt>
              </c:strCache>
            </c:strRef>
          </c:cat>
          <c:val>
            <c:numRef>
              <c:f>'Pivot Tables Analysis'!$C$34:$C$39</c:f>
              <c:numCache>
                <c:formatCode>0</c:formatCode>
                <c:ptCount val="5"/>
                <c:pt idx="0">
                  <c:v>208</c:v>
                </c:pt>
                <c:pt idx="1">
                  <c:v>197</c:v>
                </c:pt>
                <c:pt idx="2">
                  <c:v>209</c:v>
                </c:pt>
                <c:pt idx="3">
                  <c:v>332</c:v>
                </c:pt>
                <c:pt idx="4">
                  <c:v>176</c:v>
                </c:pt>
              </c:numCache>
            </c:numRef>
          </c:val>
          <c:smooth val="0"/>
          <c:extLst>
            <c:ext xmlns:c16="http://schemas.microsoft.com/office/drawing/2014/chart" uri="{C3380CC4-5D6E-409C-BE32-E72D297353CC}">
              <c16:uniqueId val="{00000001-CADC-4183-9CFE-6B00C6A7E756}"/>
            </c:ext>
          </c:extLst>
        </c:ser>
        <c:dLbls>
          <c:showLegendKey val="0"/>
          <c:showVal val="0"/>
          <c:showCatName val="0"/>
          <c:showSerName val="0"/>
          <c:showPercent val="0"/>
          <c:showBubbleSize val="0"/>
        </c:dLbls>
        <c:marker val="1"/>
        <c:smooth val="0"/>
        <c:axId val="753714688"/>
        <c:axId val="753696928"/>
      </c:lineChart>
      <c:catAx>
        <c:axId val="9279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27922880"/>
        <c:crosses val="autoZero"/>
        <c:auto val="1"/>
        <c:lblAlgn val="ctr"/>
        <c:lblOffset val="100"/>
        <c:noMultiLvlLbl val="0"/>
      </c:catAx>
      <c:valAx>
        <c:axId val="9279228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27910400"/>
        <c:crosses val="autoZero"/>
        <c:crossBetween val="between"/>
      </c:valAx>
      <c:valAx>
        <c:axId val="753696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753714688"/>
        <c:crosses val="max"/>
        <c:crossBetween val="between"/>
      </c:valAx>
      <c:catAx>
        <c:axId val="753714688"/>
        <c:scaling>
          <c:orientation val="minMax"/>
        </c:scaling>
        <c:delete val="1"/>
        <c:axPos val="b"/>
        <c:numFmt formatCode="General" sourceLinked="1"/>
        <c:majorTickMark val="out"/>
        <c:minorTickMark val="none"/>
        <c:tickLblPos val="nextTo"/>
        <c:crossAx val="753696928"/>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glow rad="101600">
        <a:schemeClr val="accent1">
          <a:satMod val="175000"/>
          <a:alpha val="40000"/>
        </a:schemeClr>
      </a:glow>
      <a:outerShdw blurRad="63500" sx="102000" sy="102000" algn="c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Project_Excel -Solved.xlsx]Pivot Tables Analysis!PivotTable5</c:name>
    <c:fmtId val="3"/>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1" i="0" u="none" strike="noStrike" baseline="0">
                <a:solidFill>
                  <a:schemeClr val="bg1"/>
                </a:solidFill>
                <a:effectLst/>
              </a:rPr>
              <a:t>Bottom 5 Countries By Sales  </a:t>
            </a:r>
            <a:endParaRPr lang="en-US" b="1">
              <a:solidFill>
                <a:schemeClr val="bg1"/>
              </a:solidFill>
            </a:endParaRPr>
          </a:p>
        </c:rich>
      </c:tx>
      <c:layout>
        <c:manualLayout>
          <c:xMode val="edge"/>
          <c:yMode val="edge"/>
          <c:x val="0.26724074501147604"/>
          <c:y val="3.2123474605514953E-3"/>
        </c:manualLayout>
      </c:layout>
      <c:overlay val="0"/>
      <c:spPr>
        <a:solidFill>
          <a:schemeClr val="accent1"/>
        </a:solid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10"/>
          <c:spPr>
            <a:solidFill>
              <a:schemeClr val="bg2"/>
            </a:solidFill>
            <a:ln w="9525">
              <a:solidFill>
                <a:schemeClr val="accent1"/>
              </a:solidFill>
            </a:ln>
            <a:effectLst/>
          </c:spPr>
        </c:marker>
      </c:pivotFmt>
      <c:pivotFmt>
        <c:idx val="5"/>
        <c:spPr>
          <a:solidFill>
            <a:schemeClr val="accent1"/>
          </a:solidFill>
          <a:ln>
            <a:noFill/>
          </a:ln>
          <a:effectLst/>
        </c:spPr>
        <c:marker>
          <c:symbol val="circle"/>
          <c:size val="10"/>
          <c:spPr>
            <a:solidFill>
              <a:schemeClr val="bg2"/>
            </a:solidFill>
            <a:ln w="9525">
              <a:solidFill>
                <a:schemeClr val="accent1"/>
              </a:solid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2199101977438"/>
          <c:y val="0.22293075559533837"/>
          <c:w val="0.77876811421261949"/>
          <c:h val="0.60831437736949534"/>
        </c:manualLayout>
      </c:layout>
      <c:barChart>
        <c:barDir val="col"/>
        <c:grouping val="clustered"/>
        <c:varyColors val="0"/>
        <c:ser>
          <c:idx val="0"/>
          <c:order val="0"/>
          <c:tx>
            <c:strRef>
              <c:f>'Pivot Tables Analysis'!$B$43</c:f>
              <c:strCache>
                <c:ptCount val="1"/>
                <c:pt idx="0">
                  <c:v>Total Revenue</c:v>
                </c:pt>
              </c:strCache>
            </c:strRef>
          </c:tx>
          <c:spPr>
            <a:solidFill>
              <a:schemeClr val="accent1"/>
            </a:solidFill>
            <a:ln>
              <a:noFill/>
            </a:ln>
            <a:effectLst/>
          </c:spPr>
          <c:invertIfNegative val="0"/>
          <c:dLbls>
            <c:spPr>
              <a:solidFill>
                <a:srgbClr val="156082"/>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Analysis'!$A$44:$A$49</c:f>
              <c:strCache>
                <c:ptCount val="5"/>
                <c:pt idx="0">
                  <c:v>South Africa</c:v>
                </c:pt>
                <c:pt idx="1">
                  <c:v>Mayotte</c:v>
                </c:pt>
                <c:pt idx="2">
                  <c:v>Virgin Islands, British</c:v>
                </c:pt>
                <c:pt idx="3">
                  <c:v>Saudi Arabia</c:v>
                </c:pt>
                <c:pt idx="4">
                  <c:v>Morocco</c:v>
                </c:pt>
              </c:strCache>
            </c:strRef>
          </c:cat>
          <c:val>
            <c:numRef>
              <c:f>'Pivot Tables Analysis'!$B$44:$B$49</c:f>
              <c:numCache>
                <c:formatCode>_("$"* #,##0_);_("$"* \(#,##0\);_("$"* "-"??_);_(@_)</c:formatCode>
                <c:ptCount val="5"/>
                <c:pt idx="0">
                  <c:v>139.86000000000001</c:v>
                </c:pt>
                <c:pt idx="1">
                  <c:v>111.72</c:v>
                </c:pt>
                <c:pt idx="2">
                  <c:v>54</c:v>
                </c:pt>
                <c:pt idx="3">
                  <c:v>45</c:v>
                </c:pt>
                <c:pt idx="4">
                  <c:v>31.5</c:v>
                </c:pt>
              </c:numCache>
            </c:numRef>
          </c:val>
          <c:extLst>
            <c:ext xmlns:c16="http://schemas.microsoft.com/office/drawing/2014/chart" uri="{C3380CC4-5D6E-409C-BE32-E72D297353CC}">
              <c16:uniqueId val="{00000000-243F-4F68-9FF4-FFD215C29CD6}"/>
            </c:ext>
          </c:extLst>
        </c:ser>
        <c:dLbls>
          <c:showLegendKey val="0"/>
          <c:showVal val="0"/>
          <c:showCatName val="0"/>
          <c:showSerName val="0"/>
          <c:showPercent val="0"/>
          <c:showBubbleSize val="0"/>
        </c:dLbls>
        <c:gapWidth val="150"/>
        <c:axId val="927910400"/>
        <c:axId val="927922880"/>
      </c:barChart>
      <c:lineChart>
        <c:grouping val="standard"/>
        <c:varyColors val="0"/>
        <c:ser>
          <c:idx val="1"/>
          <c:order val="1"/>
          <c:tx>
            <c:strRef>
              <c:f>'Pivot Tables Analysis'!$C$43</c:f>
              <c:strCache>
                <c:ptCount val="1"/>
                <c:pt idx="0">
                  <c:v>Total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Analysis'!$A$44:$A$49</c:f>
              <c:strCache>
                <c:ptCount val="5"/>
                <c:pt idx="0">
                  <c:v>South Africa</c:v>
                </c:pt>
                <c:pt idx="1">
                  <c:v>Mayotte</c:v>
                </c:pt>
                <c:pt idx="2">
                  <c:v>Virgin Islands, British</c:v>
                </c:pt>
                <c:pt idx="3">
                  <c:v>Saudi Arabia</c:v>
                </c:pt>
                <c:pt idx="4">
                  <c:v>Morocco</c:v>
                </c:pt>
              </c:strCache>
            </c:strRef>
          </c:cat>
          <c:val>
            <c:numRef>
              <c:f>'Pivot Tables Analysis'!$C$44:$C$49</c:f>
              <c:numCache>
                <c:formatCode>0</c:formatCode>
                <c:ptCount val="5"/>
                <c:pt idx="0">
                  <c:v>14</c:v>
                </c:pt>
                <c:pt idx="1">
                  <c:v>28</c:v>
                </c:pt>
                <c:pt idx="2">
                  <c:v>12</c:v>
                </c:pt>
                <c:pt idx="3">
                  <c:v>10</c:v>
                </c:pt>
                <c:pt idx="4">
                  <c:v>7</c:v>
                </c:pt>
              </c:numCache>
            </c:numRef>
          </c:val>
          <c:smooth val="0"/>
          <c:extLst>
            <c:ext xmlns:c16="http://schemas.microsoft.com/office/drawing/2014/chart" uri="{C3380CC4-5D6E-409C-BE32-E72D297353CC}">
              <c16:uniqueId val="{00000001-243F-4F68-9FF4-FFD215C29CD6}"/>
            </c:ext>
          </c:extLst>
        </c:ser>
        <c:dLbls>
          <c:showLegendKey val="0"/>
          <c:showVal val="0"/>
          <c:showCatName val="0"/>
          <c:showSerName val="0"/>
          <c:showPercent val="0"/>
          <c:showBubbleSize val="0"/>
        </c:dLbls>
        <c:marker val="1"/>
        <c:smooth val="0"/>
        <c:axId val="753714688"/>
        <c:axId val="753696928"/>
      </c:lineChart>
      <c:catAx>
        <c:axId val="92791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27922880"/>
        <c:crosses val="autoZero"/>
        <c:auto val="1"/>
        <c:lblAlgn val="ctr"/>
        <c:lblOffset val="100"/>
        <c:noMultiLvlLbl val="0"/>
      </c:catAx>
      <c:valAx>
        <c:axId val="9279228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27910400"/>
        <c:crosses val="autoZero"/>
        <c:crossBetween val="between"/>
      </c:valAx>
      <c:valAx>
        <c:axId val="753696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753714688"/>
        <c:crosses val="max"/>
        <c:crossBetween val="between"/>
      </c:valAx>
      <c:catAx>
        <c:axId val="753714688"/>
        <c:scaling>
          <c:orientation val="minMax"/>
        </c:scaling>
        <c:delete val="1"/>
        <c:axPos val="b"/>
        <c:numFmt formatCode="General" sourceLinked="1"/>
        <c:majorTickMark val="out"/>
        <c:minorTickMark val="none"/>
        <c:tickLblPos val="nextTo"/>
        <c:crossAx val="753696928"/>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glow rad="101600">
        <a:schemeClr val="accent1">
          <a:satMod val="175000"/>
          <a:alpha val="40000"/>
        </a:schemeClr>
      </a:glow>
      <a:outerShdw blurRad="63500" sx="102000" sy="102000" algn="c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59266</xdr:colOff>
      <xdr:row>24</xdr:row>
      <xdr:rowOff>110067</xdr:rowOff>
    </xdr:from>
    <xdr:to>
      <xdr:col>9</xdr:col>
      <xdr:colOff>1134533</xdr:colOff>
      <xdr:row>26</xdr:row>
      <xdr:rowOff>127000</xdr:rowOff>
    </xdr:to>
    <xdr:sp macro="" textlink="">
      <xdr:nvSpPr>
        <xdr:cNvPr id="4" name="Arrow: Right 3">
          <a:extLst>
            <a:ext uri="{FF2B5EF4-FFF2-40B4-BE49-F238E27FC236}">
              <a16:creationId xmlns:a16="http://schemas.microsoft.com/office/drawing/2014/main" id="{6FB8BB6C-9AB9-524C-515A-F732F5943802}"/>
            </a:ext>
          </a:extLst>
        </xdr:cNvPr>
        <xdr:cNvSpPr/>
      </xdr:nvSpPr>
      <xdr:spPr>
        <a:xfrm>
          <a:off x="6239933" y="4580467"/>
          <a:ext cx="5215467" cy="38946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1083733</xdr:colOff>
      <xdr:row>24</xdr:row>
      <xdr:rowOff>160867</xdr:rowOff>
    </xdr:from>
    <xdr:to>
      <xdr:col>9</xdr:col>
      <xdr:colOff>135466</xdr:colOff>
      <xdr:row>26</xdr:row>
      <xdr:rowOff>76200</xdr:rowOff>
    </xdr:to>
    <xdr:sp macro="" textlink="">
      <xdr:nvSpPr>
        <xdr:cNvPr id="5" name="TextBox 4">
          <a:extLst>
            <a:ext uri="{FF2B5EF4-FFF2-40B4-BE49-F238E27FC236}">
              <a16:creationId xmlns:a16="http://schemas.microsoft.com/office/drawing/2014/main" id="{E4E7A068-7621-77D3-6950-F50FEBBD301A}"/>
            </a:ext>
          </a:extLst>
        </xdr:cNvPr>
        <xdr:cNvSpPr txBox="1"/>
      </xdr:nvSpPr>
      <xdr:spPr>
        <a:xfrm>
          <a:off x="7264400" y="4631267"/>
          <a:ext cx="3191933"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Answered Using Pivot Tables</a:t>
          </a:r>
        </a:p>
        <a:p>
          <a:endParaRPr lang="en-US" sz="14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47897</xdr:colOff>
      <xdr:row>0</xdr:row>
      <xdr:rowOff>0</xdr:rowOff>
    </xdr:from>
    <xdr:to>
      <xdr:col>19</xdr:col>
      <xdr:colOff>185057</xdr:colOff>
      <xdr:row>12</xdr:row>
      <xdr:rowOff>121920</xdr:rowOff>
    </xdr:to>
    <xdr:graphicFrame macro="">
      <xdr:nvGraphicFramePr>
        <xdr:cNvPr id="4" name="Chart 3">
          <a:extLst>
            <a:ext uri="{FF2B5EF4-FFF2-40B4-BE49-F238E27FC236}">
              <a16:creationId xmlns:a16="http://schemas.microsoft.com/office/drawing/2014/main" id="{7F59CF16-6DDE-282E-059F-14EDD3FBD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313869</xdr:colOff>
      <xdr:row>35</xdr:row>
      <xdr:rowOff>94825</xdr:rowOff>
    </xdr:from>
    <xdr:to>
      <xdr:col>14</xdr:col>
      <xdr:colOff>197151</xdr:colOff>
      <xdr:row>48</xdr:row>
      <xdr:rowOff>69940</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DFCFB008-17F3-2EAD-F1E1-9AFDF84F05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637983" y="6756882"/>
              <a:ext cx="2191054" cy="2478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164132</xdr:colOff>
      <xdr:row>47</xdr:row>
      <xdr:rowOff>73538</xdr:rowOff>
    </xdr:from>
    <xdr:to>
      <xdr:col>11</xdr:col>
      <xdr:colOff>235978</xdr:colOff>
      <xdr:row>60</xdr:row>
      <xdr:rowOff>138157</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EFE2AF85-064D-032A-CFDF-A2DE563BFA0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180475" y="9054252"/>
              <a:ext cx="2379617" cy="2470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170058</xdr:colOff>
      <xdr:row>41</xdr:row>
      <xdr:rowOff>79466</xdr:rowOff>
    </xdr:from>
    <xdr:to>
      <xdr:col>11</xdr:col>
      <xdr:colOff>224971</xdr:colOff>
      <xdr:row>47</xdr:row>
      <xdr:rowOff>53220</xdr:rowOff>
    </xdr:to>
    <mc:AlternateContent xmlns:mc="http://schemas.openxmlformats.org/markup-compatibility/2006">
      <mc:Choice xmlns:a14="http://schemas.microsoft.com/office/drawing/2010/main" Requires="a14">
        <xdr:graphicFrame macro="">
          <xdr:nvGraphicFramePr>
            <xdr:cNvPr id="7" name="Sales Channel">
              <a:extLst>
                <a:ext uri="{FF2B5EF4-FFF2-40B4-BE49-F238E27FC236}">
                  <a16:creationId xmlns:a16="http://schemas.microsoft.com/office/drawing/2014/main" id="{3D1914C2-C2B4-EB53-3791-409623D845B9}"/>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1186401" y="7895409"/>
              <a:ext cx="2362684" cy="1138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315564</xdr:colOff>
      <xdr:row>48</xdr:row>
      <xdr:rowOff>54067</xdr:rowOff>
    </xdr:from>
    <xdr:to>
      <xdr:col>13</xdr:col>
      <xdr:colOff>440145</xdr:colOff>
      <xdr:row>60</xdr:row>
      <xdr:rowOff>136677</xdr:rowOff>
    </xdr:to>
    <mc:AlternateContent xmlns:mc="http://schemas.openxmlformats.org/markup-compatibility/2006">
      <mc:Choice xmlns:a14="http://schemas.microsoft.com/office/drawing/2010/main" Requires="a14">
        <xdr:graphicFrame macro="">
          <xdr:nvGraphicFramePr>
            <xdr:cNvPr id="8" name="Months (Date Sold)">
              <a:extLst>
                <a:ext uri="{FF2B5EF4-FFF2-40B4-BE49-F238E27FC236}">
                  <a16:creationId xmlns:a16="http://schemas.microsoft.com/office/drawing/2014/main" id="{9523E4D9-0507-A37D-F0C1-3539FCCBC325}"/>
                </a:ext>
              </a:extLst>
            </xdr:cNvPr>
            <xdr:cNvGraphicFramePr/>
          </xdr:nvGraphicFramePr>
          <xdr:xfrm>
            <a:off x="0" y="0"/>
            <a:ext cx="0" cy="0"/>
          </xdr:xfrm>
          <a:graphic>
            <a:graphicData uri="http://schemas.microsoft.com/office/drawing/2010/slicer">
              <sle:slicer xmlns:sle="http://schemas.microsoft.com/office/drawing/2010/slicer" name="Months (Date Sold)"/>
            </a:graphicData>
          </a:graphic>
        </xdr:graphicFrame>
      </mc:Choice>
      <mc:Fallback>
        <xdr:sp macro="" textlink="">
          <xdr:nvSpPr>
            <xdr:cNvPr id="0" name=""/>
            <xdr:cNvSpPr>
              <a:spLocks noTextEdit="1"/>
            </xdr:cNvSpPr>
          </xdr:nvSpPr>
          <xdr:spPr>
            <a:xfrm>
              <a:off x="13639678" y="9219838"/>
              <a:ext cx="1822753" cy="2303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594360</xdr:colOff>
      <xdr:row>6</xdr:row>
      <xdr:rowOff>111760</xdr:rowOff>
    </xdr:from>
    <xdr:to>
      <xdr:col>6</xdr:col>
      <xdr:colOff>594360</xdr:colOff>
      <xdr:row>36</xdr:row>
      <xdr:rowOff>60960</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75C7AEB7-ED09-4B17-8173-1C09ED579CC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423160" y="1209040"/>
              <a:ext cx="1828800" cy="543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132080</xdr:rowOff>
    </xdr:from>
    <xdr:to>
      <xdr:col>3</xdr:col>
      <xdr:colOff>552027</xdr:colOff>
      <xdr:row>19</xdr:row>
      <xdr:rowOff>68791</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DACE2102-21A2-4198-A1CA-97C46BD0CF7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1229360"/>
              <a:ext cx="2380827" cy="2314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8254</xdr:colOff>
      <xdr:row>29</xdr:row>
      <xdr:rowOff>118322</xdr:rowOff>
    </xdr:from>
    <xdr:to>
      <xdr:col>3</xdr:col>
      <xdr:colOff>513079</xdr:colOff>
      <xdr:row>36</xdr:row>
      <xdr:rowOff>43180</xdr:rowOff>
    </xdr:to>
    <mc:AlternateContent xmlns:mc="http://schemas.openxmlformats.org/markup-compatibility/2006" xmlns:a14="http://schemas.microsoft.com/office/drawing/2010/main">
      <mc:Choice Requires="a14">
        <xdr:graphicFrame macro="">
          <xdr:nvGraphicFramePr>
            <xdr:cNvPr id="8" name="Sales Channel 1">
              <a:extLst>
                <a:ext uri="{FF2B5EF4-FFF2-40B4-BE49-F238E27FC236}">
                  <a16:creationId xmlns:a16="http://schemas.microsoft.com/office/drawing/2014/main" id="{CEEB44C3-932A-480B-8274-AB646B3DA204}"/>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8254" y="5421842"/>
              <a:ext cx="2333625" cy="1205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xdr:colOff>
      <xdr:row>19</xdr:row>
      <xdr:rowOff>132079</xdr:rowOff>
    </xdr:from>
    <xdr:to>
      <xdr:col>3</xdr:col>
      <xdr:colOff>541655</xdr:colOff>
      <xdr:row>29</xdr:row>
      <xdr:rowOff>91228</xdr:rowOff>
    </xdr:to>
    <mc:AlternateContent xmlns:mc="http://schemas.openxmlformats.org/markup-compatibility/2006" xmlns:a14="http://schemas.microsoft.com/office/drawing/2010/main">
      <mc:Choice Requires="a14">
        <xdr:graphicFrame macro="">
          <xdr:nvGraphicFramePr>
            <xdr:cNvPr id="9" name="Months (Date Sold) 1">
              <a:extLst>
                <a:ext uri="{FF2B5EF4-FFF2-40B4-BE49-F238E27FC236}">
                  <a16:creationId xmlns:a16="http://schemas.microsoft.com/office/drawing/2014/main" id="{0CCC9B1D-C191-415F-88C6-23260190A82F}"/>
                </a:ext>
              </a:extLst>
            </xdr:cNvPr>
            <xdr:cNvGraphicFramePr/>
          </xdr:nvGraphicFramePr>
          <xdr:xfrm>
            <a:off x="0" y="0"/>
            <a:ext cx="0" cy="0"/>
          </xdr:xfrm>
          <a:graphic>
            <a:graphicData uri="http://schemas.microsoft.com/office/drawing/2010/slicer">
              <sle:slicer xmlns:sle="http://schemas.microsoft.com/office/drawing/2010/slicer" name="Months (Date Sold) 1"/>
            </a:graphicData>
          </a:graphic>
        </xdr:graphicFrame>
      </mc:Choice>
      <mc:Fallback xmlns="">
        <xdr:sp macro="" textlink="">
          <xdr:nvSpPr>
            <xdr:cNvPr id="0" name=""/>
            <xdr:cNvSpPr>
              <a:spLocks noTextEdit="1"/>
            </xdr:cNvSpPr>
          </xdr:nvSpPr>
          <xdr:spPr>
            <a:xfrm>
              <a:off x="15875" y="3606799"/>
              <a:ext cx="2354580" cy="1787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50800</xdr:colOff>
      <xdr:row>0</xdr:row>
      <xdr:rowOff>73624</xdr:rowOff>
    </xdr:from>
    <xdr:to>
      <xdr:col>30</xdr:col>
      <xdr:colOff>497840</xdr:colOff>
      <xdr:row>6</xdr:row>
      <xdr:rowOff>61268</xdr:rowOff>
    </xdr:to>
    <xdr:grpSp>
      <xdr:nvGrpSpPr>
        <xdr:cNvPr id="3" name="Group 2">
          <a:extLst>
            <a:ext uri="{FF2B5EF4-FFF2-40B4-BE49-F238E27FC236}">
              <a16:creationId xmlns:a16="http://schemas.microsoft.com/office/drawing/2014/main" id="{88F74132-E65A-1A57-EC83-677BAA7285E1}"/>
            </a:ext>
          </a:extLst>
        </xdr:cNvPr>
        <xdr:cNvGrpSpPr/>
      </xdr:nvGrpSpPr>
      <xdr:grpSpPr>
        <a:xfrm>
          <a:off x="5537200" y="73624"/>
          <a:ext cx="13248640" cy="1084924"/>
          <a:chOff x="8315325" y="102199"/>
          <a:chExt cx="9387657" cy="1073494"/>
        </a:xfrm>
      </xdr:grpSpPr>
      <xdr:grpSp>
        <xdr:nvGrpSpPr>
          <xdr:cNvPr id="45" name="Group 44">
            <a:extLst>
              <a:ext uri="{FF2B5EF4-FFF2-40B4-BE49-F238E27FC236}">
                <a16:creationId xmlns:a16="http://schemas.microsoft.com/office/drawing/2014/main" id="{EBCA4892-1E93-BC59-B22A-0DD923904593}"/>
              </a:ext>
            </a:extLst>
          </xdr:cNvPr>
          <xdr:cNvGrpSpPr/>
        </xdr:nvGrpSpPr>
        <xdr:grpSpPr>
          <a:xfrm>
            <a:off x="8315325" y="121249"/>
            <a:ext cx="2374380" cy="1054444"/>
            <a:chOff x="5457824" y="158962"/>
            <a:chExt cx="2632096" cy="1054444"/>
          </a:xfrm>
        </xdr:grpSpPr>
        <xdr:grpSp>
          <xdr:nvGrpSpPr>
            <xdr:cNvPr id="11" name="Group 10">
              <a:extLst>
                <a:ext uri="{FF2B5EF4-FFF2-40B4-BE49-F238E27FC236}">
                  <a16:creationId xmlns:a16="http://schemas.microsoft.com/office/drawing/2014/main" id="{B8F789EB-3997-A079-BC69-83D2F16B12D1}"/>
                </a:ext>
              </a:extLst>
            </xdr:cNvPr>
            <xdr:cNvGrpSpPr/>
          </xdr:nvGrpSpPr>
          <xdr:grpSpPr>
            <a:xfrm>
              <a:off x="5457824" y="158962"/>
              <a:ext cx="2632096" cy="1054444"/>
              <a:chOff x="11297099" y="4341542"/>
              <a:chExt cx="2667013" cy="1121743"/>
            </a:xfrm>
          </xdr:grpSpPr>
          <xdr:sp macro="" textlink="">
            <xdr:nvSpPr>
              <xdr:cNvPr id="34" name="Rectangle: Rounded Corners 33">
                <a:extLst>
                  <a:ext uri="{FF2B5EF4-FFF2-40B4-BE49-F238E27FC236}">
                    <a16:creationId xmlns:a16="http://schemas.microsoft.com/office/drawing/2014/main" id="{F4260AF3-0094-E5B8-55FB-4DD1DC127F55}"/>
                  </a:ext>
                </a:extLst>
              </xdr:cNvPr>
              <xdr:cNvSpPr/>
            </xdr:nvSpPr>
            <xdr:spPr>
              <a:xfrm>
                <a:off x="11297099" y="4341542"/>
                <a:ext cx="2667013"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 Total Revenue</a:t>
                </a:r>
              </a:p>
            </xdr:txBody>
          </xdr:sp>
          <xdr:sp macro="" textlink="'Pivot Tables Analysis'!A6">
            <xdr:nvSpPr>
              <xdr:cNvPr id="36" name="TextBox 35">
                <a:extLst>
                  <a:ext uri="{FF2B5EF4-FFF2-40B4-BE49-F238E27FC236}">
                    <a16:creationId xmlns:a16="http://schemas.microsoft.com/office/drawing/2014/main" id="{BE2A330E-91F8-1B0A-9475-3B7CA2D61E2D}"/>
                  </a:ext>
                </a:extLst>
              </xdr:cNvPr>
              <xdr:cNvSpPr txBox="1"/>
            </xdr:nvSpPr>
            <xdr:spPr>
              <a:xfrm>
                <a:off x="12169239" y="4938129"/>
                <a:ext cx="1241503" cy="3793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45AE41-CD6E-4E93-B8C2-D728C9892731}" type="TxLink">
                  <a:rPr lang="en-US" sz="2000" b="1" i="0" u="none" strike="noStrike">
                    <a:solidFill>
                      <a:srgbClr val="000000"/>
                    </a:solidFill>
                    <a:latin typeface="Calibri"/>
                    <a:cs typeface="Calibri"/>
                  </a:rPr>
                  <a:pPr/>
                  <a:t> $82,543 </a:t>
                </a:fld>
                <a:endParaRPr lang="en-US" sz="6000" b="1">
                  <a:solidFill>
                    <a:schemeClr val="tx1"/>
                  </a:solidFill>
                </a:endParaRPr>
              </a:p>
            </xdr:txBody>
          </xdr:sp>
        </xdr:grpSp>
        <xdr:pic>
          <xdr:nvPicPr>
            <xdr:cNvPr id="38" name="Picture 37">
              <a:extLst>
                <a:ext uri="{FF2B5EF4-FFF2-40B4-BE49-F238E27FC236}">
                  <a16:creationId xmlns:a16="http://schemas.microsoft.com/office/drawing/2014/main" id="{DE6BF557-F3B4-2D54-EAC4-DA76CE0841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226" y="647701"/>
              <a:ext cx="523874" cy="523874"/>
            </a:xfrm>
            <a:prstGeom prst="rect">
              <a:avLst/>
            </a:prstGeom>
          </xdr:spPr>
        </xdr:pic>
      </xdr:grpSp>
      <xdr:grpSp>
        <xdr:nvGrpSpPr>
          <xdr:cNvPr id="46" name="Group 45">
            <a:extLst>
              <a:ext uri="{FF2B5EF4-FFF2-40B4-BE49-F238E27FC236}">
                <a16:creationId xmlns:a16="http://schemas.microsoft.com/office/drawing/2014/main" id="{386094E5-6E80-1D75-8286-E69A2DC26C43}"/>
              </a:ext>
            </a:extLst>
          </xdr:cNvPr>
          <xdr:cNvGrpSpPr/>
        </xdr:nvGrpSpPr>
        <xdr:grpSpPr>
          <a:xfrm>
            <a:off x="10736210" y="111724"/>
            <a:ext cx="2262680" cy="1053670"/>
            <a:chOff x="8135129" y="159349"/>
            <a:chExt cx="2508272" cy="1053670"/>
          </a:xfrm>
        </xdr:grpSpPr>
        <xdr:grpSp>
          <xdr:nvGrpSpPr>
            <xdr:cNvPr id="12" name="Group 11">
              <a:extLst>
                <a:ext uri="{FF2B5EF4-FFF2-40B4-BE49-F238E27FC236}">
                  <a16:creationId xmlns:a16="http://schemas.microsoft.com/office/drawing/2014/main" id="{8A0E66FC-2E67-6216-C2E4-3FDA9F464F51}"/>
                </a:ext>
              </a:extLst>
            </xdr:cNvPr>
            <xdr:cNvGrpSpPr/>
          </xdr:nvGrpSpPr>
          <xdr:grpSpPr>
            <a:xfrm>
              <a:off x="8135129" y="159349"/>
              <a:ext cx="2508272" cy="1053670"/>
              <a:chOff x="11422567" y="4341542"/>
              <a:chExt cx="2541545" cy="1121743"/>
            </a:xfrm>
          </xdr:grpSpPr>
          <xdr:sp macro="" textlink="">
            <xdr:nvSpPr>
              <xdr:cNvPr id="31" name="Rectangle: Rounded Corners 30">
                <a:extLst>
                  <a:ext uri="{FF2B5EF4-FFF2-40B4-BE49-F238E27FC236}">
                    <a16:creationId xmlns:a16="http://schemas.microsoft.com/office/drawing/2014/main" id="{7CB2A897-645D-F74D-AE51-BCBEE4955CA0}"/>
                  </a:ext>
                </a:extLst>
              </xdr:cNvPr>
              <xdr:cNvSpPr/>
            </xdr:nvSpPr>
            <xdr:spPr>
              <a:xfrm>
                <a:off x="11422567"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   Avg Unit Price</a:t>
                </a:r>
                <a:endParaRPr lang="en-US" sz="2800" b="1">
                  <a:solidFill>
                    <a:schemeClr val="tx1"/>
                  </a:solidFill>
                </a:endParaRPr>
              </a:p>
            </xdr:txBody>
          </xdr:sp>
          <xdr:sp macro="" textlink="'Pivot Tables Analysis'!B6">
            <xdr:nvSpPr>
              <xdr:cNvPr id="33" name="TextBox 32">
                <a:extLst>
                  <a:ext uri="{FF2B5EF4-FFF2-40B4-BE49-F238E27FC236}">
                    <a16:creationId xmlns:a16="http://schemas.microsoft.com/office/drawing/2014/main" id="{313A741B-1F3A-5DF6-5252-73C6B65F7913}"/>
                  </a:ext>
                </a:extLst>
              </xdr:cNvPr>
              <xdr:cNvSpPr txBox="1"/>
            </xdr:nvSpPr>
            <xdr:spPr>
              <a:xfrm>
                <a:off x="12251471" y="4910251"/>
                <a:ext cx="1241503" cy="37708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6A2ADE-FC35-40B9-BF5A-215A23BCB916}" type="TxLink">
                  <a:rPr lang="en-US" sz="2000" b="1" i="0" u="none" strike="noStrike">
                    <a:solidFill>
                      <a:srgbClr val="000000"/>
                    </a:solidFill>
                    <a:latin typeface="Calibri"/>
                    <a:cs typeface="Calibri"/>
                  </a:rPr>
                  <a:pPr/>
                  <a:t> $7.02 </a:t>
                </a:fld>
                <a:endParaRPr lang="en-US" sz="6600" b="1"/>
              </a:p>
            </xdr:txBody>
          </xdr:sp>
        </xdr:grpSp>
        <xdr:pic>
          <xdr:nvPicPr>
            <xdr:cNvPr id="40" name="Picture 39">
              <a:extLst>
                <a:ext uri="{FF2B5EF4-FFF2-40B4-BE49-F238E27FC236}">
                  <a16:creationId xmlns:a16="http://schemas.microsoft.com/office/drawing/2014/main" id="{2AC74520-8436-4307-1168-950E3E0882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81974" y="657224"/>
              <a:ext cx="512064" cy="512064"/>
            </a:xfrm>
            <a:prstGeom prst="rect">
              <a:avLst/>
            </a:prstGeom>
          </xdr:spPr>
        </xdr:pic>
      </xdr:grpSp>
      <xdr:grpSp>
        <xdr:nvGrpSpPr>
          <xdr:cNvPr id="47" name="Group 46">
            <a:extLst>
              <a:ext uri="{FF2B5EF4-FFF2-40B4-BE49-F238E27FC236}">
                <a16:creationId xmlns:a16="http://schemas.microsoft.com/office/drawing/2014/main" id="{943697E6-E06B-474A-FB48-68BB391D8261}"/>
              </a:ext>
            </a:extLst>
          </xdr:cNvPr>
          <xdr:cNvGrpSpPr/>
        </xdr:nvGrpSpPr>
        <xdr:grpSpPr>
          <a:xfrm>
            <a:off x="13102543" y="111724"/>
            <a:ext cx="2262680" cy="1053670"/>
            <a:chOff x="10688606" y="159349"/>
            <a:chExt cx="2508272" cy="1053670"/>
          </a:xfrm>
        </xdr:grpSpPr>
        <xdr:grpSp>
          <xdr:nvGrpSpPr>
            <xdr:cNvPr id="13" name="Group 12">
              <a:extLst>
                <a:ext uri="{FF2B5EF4-FFF2-40B4-BE49-F238E27FC236}">
                  <a16:creationId xmlns:a16="http://schemas.microsoft.com/office/drawing/2014/main" id="{C6E4776B-AE21-81EF-003C-E3EEE282B7B1}"/>
                </a:ext>
              </a:extLst>
            </xdr:cNvPr>
            <xdr:cNvGrpSpPr/>
          </xdr:nvGrpSpPr>
          <xdr:grpSpPr>
            <a:xfrm>
              <a:off x="10688606" y="159349"/>
              <a:ext cx="2508272" cy="1053670"/>
              <a:chOff x="11422566" y="4341542"/>
              <a:chExt cx="2541545" cy="1121743"/>
            </a:xfrm>
          </xdr:grpSpPr>
          <xdr:sp macro="" textlink="">
            <xdr:nvSpPr>
              <xdr:cNvPr id="28" name="Rectangle: Rounded Corners 27">
                <a:extLst>
                  <a:ext uri="{FF2B5EF4-FFF2-40B4-BE49-F238E27FC236}">
                    <a16:creationId xmlns:a16="http://schemas.microsoft.com/office/drawing/2014/main" id="{66C8113E-304D-06A0-DD33-5C8ED603A39A}"/>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T-Quantity Sold</a:t>
                </a:r>
                <a:endParaRPr lang="en-US" sz="2800" b="1">
                  <a:solidFill>
                    <a:schemeClr val="tx1"/>
                  </a:solidFill>
                </a:endParaRPr>
              </a:p>
            </xdr:txBody>
          </xdr:sp>
          <xdr:sp macro="" textlink="'Pivot Tables Analysis'!C6">
            <xdr:nvSpPr>
              <xdr:cNvPr id="30" name="TextBox 29">
                <a:extLst>
                  <a:ext uri="{FF2B5EF4-FFF2-40B4-BE49-F238E27FC236}">
                    <a16:creationId xmlns:a16="http://schemas.microsoft.com/office/drawing/2014/main" id="{5C043C61-68F7-2036-C761-B9E721A6F761}"/>
                  </a:ext>
                </a:extLst>
              </xdr:cNvPr>
              <xdr:cNvSpPr txBox="1"/>
            </xdr:nvSpPr>
            <xdr:spPr>
              <a:xfrm>
                <a:off x="12381569" y="4938129"/>
                <a:ext cx="1241503" cy="34920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346BE1-31DC-4482-AA96-E5E8589F4EEA}" type="TxLink">
                  <a:rPr lang="en-US" sz="2000" b="1" i="0" u="none" strike="noStrike">
                    <a:solidFill>
                      <a:srgbClr val="000000"/>
                    </a:solidFill>
                    <a:latin typeface="Calibri"/>
                    <a:cs typeface="Calibri"/>
                  </a:rPr>
                  <a:pPr/>
                  <a:t> 11,376 </a:t>
                </a:fld>
                <a:endParaRPr lang="en-US" sz="6600" b="1"/>
              </a:p>
            </xdr:txBody>
          </xdr:sp>
        </xdr:grpSp>
        <xdr:pic>
          <xdr:nvPicPr>
            <xdr:cNvPr id="42" name="Picture 41">
              <a:extLst>
                <a:ext uri="{FF2B5EF4-FFF2-40B4-BE49-F238E27FC236}">
                  <a16:creationId xmlns:a16="http://schemas.microsoft.com/office/drawing/2014/main" id="{C2C3E2BB-37BB-5889-1FC9-C8A16C8EED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848976" y="647701"/>
              <a:ext cx="514350" cy="514350"/>
            </a:xfrm>
            <a:prstGeom prst="rect">
              <a:avLst/>
            </a:prstGeom>
          </xdr:spPr>
        </xdr:pic>
      </xdr:grpSp>
      <xdr:grpSp>
        <xdr:nvGrpSpPr>
          <xdr:cNvPr id="48" name="Group 47">
            <a:extLst>
              <a:ext uri="{FF2B5EF4-FFF2-40B4-BE49-F238E27FC236}">
                <a16:creationId xmlns:a16="http://schemas.microsoft.com/office/drawing/2014/main" id="{B63ECEF6-9795-34F4-856D-EE6024B4447D}"/>
              </a:ext>
            </a:extLst>
          </xdr:cNvPr>
          <xdr:cNvGrpSpPr/>
        </xdr:nvGrpSpPr>
        <xdr:grpSpPr>
          <a:xfrm>
            <a:off x="15440302" y="102199"/>
            <a:ext cx="2262680" cy="1053670"/>
            <a:chOff x="13242085" y="159349"/>
            <a:chExt cx="2508272" cy="1053670"/>
          </a:xfrm>
        </xdr:grpSpPr>
        <xdr:grpSp>
          <xdr:nvGrpSpPr>
            <xdr:cNvPr id="14" name="Group 13">
              <a:extLst>
                <a:ext uri="{FF2B5EF4-FFF2-40B4-BE49-F238E27FC236}">
                  <a16:creationId xmlns:a16="http://schemas.microsoft.com/office/drawing/2014/main" id="{177A638C-2073-FA49-87CF-51B064D45F20}"/>
                </a:ext>
              </a:extLst>
            </xdr:cNvPr>
            <xdr:cNvGrpSpPr/>
          </xdr:nvGrpSpPr>
          <xdr:grpSpPr>
            <a:xfrm>
              <a:off x="13242085" y="159349"/>
              <a:ext cx="2508272" cy="1053670"/>
              <a:chOff x="11422566" y="4341542"/>
              <a:chExt cx="2541545" cy="1121743"/>
            </a:xfrm>
          </xdr:grpSpPr>
          <xdr:sp macro="" textlink="">
            <xdr:nvSpPr>
              <xdr:cNvPr id="25" name="Rectangle: Rounded Corners 24">
                <a:extLst>
                  <a:ext uri="{FF2B5EF4-FFF2-40B4-BE49-F238E27FC236}">
                    <a16:creationId xmlns:a16="http://schemas.microsoft.com/office/drawing/2014/main" id="{06423550-6C8C-E259-D702-E9AB8CC9DB97}"/>
                  </a:ext>
                </a:extLst>
              </xdr:cNvPr>
              <xdr:cNvSpPr/>
            </xdr:nvSpPr>
            <xdr:spPr>
              <a:xfrm>
                <a:off x="11422566" y="4341542"/>
                <a:ext cx="2541545" cy="1121743"/>
              </a:xfrm>
              <a:prstGeom prst="roundRect">
                <a:avLst/>
              </a:prstGeom>
              <a:solidFill>
                <a:schemeClr val="bg1">
                  <a:lumMod val="95000"/>
                </a:scheme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#Distributors</a:t>
                </a:r>
                <a:endParaRPr lang="en-US" sz="2800" b="1">
                  <a:solidFill>
                    <a:schemeClr val="tx1"/>
                  </a:solidFill>
                </a:endParaRPr>
              </a:p>
            </xdr:txBody>
          </xdr:sp>
          <xdr:sp macro="" textlink="'Pivot Tables Analysis'!D6">
            <xdr:nvSpPr>
              <xdr:cNvPr id="27" name="TextBox 26">
                <a:extLst>
                  <a:ext uri="{FF2B5EF4-FFF2-40B4-BE49-F238E27FC236}">
                    <a16:creationId xmlns:a16="http://schemas.microsoft.com/office/drawing/2014/main" id="{DEB053CD-9683-E9D1-7C08-5F336CA324F6}"/>
                  </a:ext>
                </a:extLst>
              </xdr:cNvPr>
              <xdr:cNvSpPr txBox="1"/>
            </xdr:nvSpPr>
            <xdr:spPr>
              <a:xfrm>
                <a:off x="12366017" y="4895386"/>
                <a:ext cx="1507273" cy="3716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E447F8-D7E0-4F4B-B118-B2FF0FC90D98}" type="TxLink">
                  <a:rPr lang="en-US" sz="2000" b="1" i="0" u="none" strike="noStrike">
                    <a:solidFill>
                      <a:srgbClr val="000000"/>
                    </a:solidFill>
                    <a:latin typeface="Calibri"/>
                    <a:cs typeface="Calibri"/>
                  </a:rPr>
                  <a:pPr/>
                  <a:t>107</a:t>
                </a:fld>
                <a:endParaRPr lang="en-US" sz="6600" b="1"/>
              </a:p>
            </xdr:txBody>
          </xdr:sp>
        </xdr:grpSp>
        <xdr:pic>
          <xdr:nvPicPr>
            <xdr:cNvPr id="44" name="Picture 43">
              <a:extLst>
                <a:ext uri="{FF2B5EF4-FFF2-40B4-BE49-F238E27FC236}">
                  <a16:creationId xmlns:a16="http://schemas.microsoft.com/office/drawing/2014/main" id="{DAAE0046-DD58-7606-8312-1B5A8C9EFE6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306426" y="666751"/>
              <a:ext cx="514350" cy="514350"/>
            </a:xfrm>
            <a:prstGeom prst="rect">
              <a:avLst/>
            </a:prstGeom>
          </xdr:spPr>
        </xdr:pic>
      </xdr:grpSp>
    </xdr:grpSp>
    <xdr:clientData/>
  </xdr:twoCellAnchor>
  <xdr:twoCellAnchor>
    <xdr:from>
      <xdr:col>14</xdr:col>
      <xdr:colOff>381000</xdr:colOff>
      <xdr:row>6</xdr:row>
      <xdr:rowOff>123825</xdr:rowOff>
    </xdr:from>
    <xdr:to>
      <xdr:col>20</xdr:col>
      <xdr:colOff>85725</xdr:colOff>
      <xdr:row>21</xdr:row>
      <xdr:rowOff>162560</xdr:rowOff>
    </xdr:to>
    <xdr:graphicFrame macro="">
      <xdr:nvGraphicFramePr>
        <xdr:cNvPr id="2" name="Chart 1">
          <a:extLst>
            <a:ext uri="{FF2B5EF4-FFF2-40B4-BE49-F238E27FC236}">
              <a16:creationId xmlns:a16="http://schemas.microsoft.com/office/drawing/2014/main" id="{2C2B0EAD-6625-437F-B1AB-D810479F3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228600</xdr:colOff>
      <xdr:row>6</xdr:row>
      <xdr:rowOff>133351</xdr:rowOff>
    </xdr:from>
    <xdr:to>
      <xdr:col>30</xdr:col>
      <xdr:colOff>477520</xdr:colOff>
      <xdr:row>21</xdr:row>
      <xdr:rowOff>132081</xdr:rowOff>
    </xdr:to>
    <xdr:graphicFrame macro="">
      <xdr:nvGraphicFramePr>
        <xdr:cNvPr id="4" name="Chart 3">
          <a:extLst>
            <a:ext uri="{FF2B5EF4-FFF2-40B4-BE49-F238E27FC236}">
              <a16:creationId xmlns:a16="http://schemas.microsoft.com/office/drawing/2014/main" id="{0A21464B-0A32-47B1-BB6C-026150D0C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47625</xdr:colOff>
      <xdr:row>6</xdr:row>
      <xdr:rowOff>123825</xdr:rowOff>
    </xdr:from>
    <xdr:to>
      <xdr:col>14</xdr:col>
      <xdr:colOff>209551</xdr:colOff>
      <xdr:row>21</xdr:row>
      <xdr:rowOff>132080</xdr:rowOff>
    </xdr:to>
    <xdr:graphicFrame macro="">
      <xdr:nvGraphicFramePr>
        <xdr:cNvPr id="5" name="Chart 4">
          <a:extLst>
            <a:ext uri="{FF2B5EF4-FFF2-40B4-BE49-F238E27FC236}">
              <a16:creationId xmlns:a16="http://schemas.microsoft.com/office/drawing/2014/main" id="{55B99D41-36BA-4ACB-8EAF-4339318DC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81281</xdr:colOff>
      <xdr:row>22</xdr:row>
      <xdr:rowOff>20320</xdr:rowOff>
    </xdr:from>
    <xdr:to>
      <xdr:col>18</xdr:col>
      <xdr:colOff>368755</xdr:colOff>
      <xdr:row>36</xdr:row>
      <xdr:rowOff>0</xdr:rowOff>
    </xdr:to>
    <xdr:graphicFrame macro="">
      <xdr:nvGraphicFramePr>
        <xdr:cNvPr id="10" name="Chart 9">
          <a:extLst>
            <a:ext uri="{FF2B5EF4-FFF2-40B4-BE49-F238E27FC236}">
              <a16:creationId xmlns:a16="http://schemas.microsoft.com/office/drawing/2014/main" id="{0CDB44F3-98EF-47E3-88EE-4276C513C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467360</xdr:colOff>
      <xdr:row>22</xdr:row>
      <xdr:rowOff>30480</xdr:rowOff>
    </xdr:from>
    <xdr:to>
      <xdr:col>30</xdr:col>
      <xdr:colOff>436880</xdr:colOff>
      <xdr:row>36</xdr:row>
      <xdr:rowOff>20320</xdr:rowOff>
    </xdr:to>
    <xdr:graphicFrame macro="">
      <xdr:nvGraphicFramePr>
        <xdr:cNvPr id="16" name="Chart 15">
          <a:extLst>
            <a:ext uri="{FF2B5EF4-FFF2-40B4-BE49-F238E27FC236}">
              <a16:creationId xmlns:a16="http://schemas.microsoft.com/office/drawing/2014/main" id="{E43594CE-C44D-475E-B504-D0FCF53C5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-18699</xdr:colOff>
      <xdr:row>0</xdr:row>
      <xdr:rowOff>79825</xdr:rowOff>
    </xdr:from>
    <xdr:ext cx="5462842" cy="1031629"/>
    <xdr:sp macro="" textlink="">
      <xdr:nvSpPr>
        <xdr:cNvPr id="20" name="Rectangle 19">
          <a:extLst>
            <a:ext uri="{FF2B5EF4-FFF2-40B4-BE49-F238E27FC236}">
              <a16:creationId xmlns:a16="http://schemas.microsoft.com/office/drawing/2014/main" id="{B5F4E67A-D3D8-E269-5DD1-A19F10A71AF7}"/>
            </a:ext>
          </a:extLst>
        </xdr:cNvPr>
        <xdr:cNvSpPr/>
      </xdr:nvSpPr>
      <xdr:spPr>
        <a:xfrm>
          <a:off x="-18699" y="79825"/>
          <a:ext cx="5462842" cy="1031629"/>
        </a:xfrm>
        <a:prstGeom prst="rect">
          <a:avLst/>
        </a:prstGeom>
        <a:noFill/>
      </xdr:spPr>
      <xdr:txBody>
        <a:bodyPr wrap="none" lIns="91440" tIns="45720" rIns="91440" bIns="45720">
          <a:spAutoFit/>
        </a:bodyPr>
        <a:lstStyle/>
        <a:p>
          <a:pPr algn="ctr"/>
          <a:r>
            <a:rPr lang="en-US" sz="6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a:t>
          </a:r>
          <a:r>
            <a:rPr lang="en-US" sz="60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Dashboard</a:t>
          </a:r>
          <a:endParaRPr lang="en-US" sz="60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99.827778009261" createdVersion="8" refreshedVersion="8" minRefreshableVersion="3" recordCount="107" xr:uid="{825583DB-148F-4A89-BDE1-160842A57871}">
  <cacheSource type="worksheet">
    <worksheetSource name="Data_tbl"/>
  </cacheSource>
  <cacheFields count="13">
    <cacheField name="Distributor ID" numFmtId="0">
      <sharedItems containsSemiMixedTypes="0" containsString="0" containsNumber="1" containsInteger="1" minValue="23263" maxValue="23380"/>
    </cacheField>
    <cacheField name="Distributor Name" numFmtId="0">
      <sharedItems count="107">
        <s v="Devin Abbott"/>
        <s v="Aphrodite Brennan"/>
        <s v="Guinevere Key"/>
        <s v="Zahir Fields"/>
        <s v="Deacon Craig"/>
        <s v="Brynne Mcgowan"/>
        <s v="Lani Sweet"/>
        <s v="Noble Warner"/>
        <s v="Levi Douglas"/>
        <s v="Jelani Odonnell"/>
        <s v="Jared Sandoval"/>
        <s v="Hiroko Acevedo"/>
        <s v="Rhona Clarke"/>
        <s v="Tad Mack"/>
        <s v="Rama Goodwin"/>
        <s v="Keaton Wolfe"/>
        <s v="Samuel Ayala"/>
        <s v="Doris Williams"/>
        <s v="Ingrid Bush"/>
        <s v="Nell Maddox"/>
        <s v="Benedict Byrd"/>
        <s v="Ethan Gregory"/>
        <s v="Ursula Mcconnell"/>
        <s v="Fletcher Jimenez"/>
        <s v="Isadora Mcclure"/>
        <s v="Liberty Mcbride"/>
        <s v="Noble Gilbert"/>
        <s v="Maxine Gentry"/>
        <s v="Melinda Cobb"/>
        <s v="Yael Carter"/>
        <s v="Kay Buckley"/>
        <s v="Athena Fitzpatrick"/>
        <s v="Joy Vazquez"/>
        <s v="Amery Frazier"/>
        <s v="Buckminster Hopkins"/>
        <s v="George Best"/>
        <s v="Maxwell Parker"/>
        <s v="Lance Little"/>
        <s v="Gwendolyn Walton"/>
        <s v="Isaac Wolf"/>
        <s v="Celeste Pugh"/>
        <s v="Oprah Ellis"/>
        <s v="Emerson Beard"/>
        <s v="Renee Padilla"/>
        <s v="Maite Henson"/>
        <s v="Ivory Chang"/>
        <s v="Clark Weaver"/>
        <s v="Ima Cummings"/>
        <s v="Adria Kaufman"/>
        <s v="Nyssa Quinn"/>
        <s v="Amir Alexander"/>
        <s v="Imogene Bradshaw"/>
        <s v="Gwendolyn Mccarty"/>
        <s v="Bell Prince"/>
        <s v="Katelyn Joseph"/>
        <s v="Robert Juarez"/>
        <s v="Jerry Alvarado"/>
        <s v="India Gilbert"/>
        <s v="Iliana Porter"/>
        <s v="Deanna Santana"/>
        <s v="Ivor Mclaughlin"/>
        <s v="Latifah Wall"/>
        <s v="Anika Tillman"/>
        <s v="Paul Duke"/>
        <s v="Sawyer Stokes"/>
        <s v="Xerxes Smith"/>
        <s v="Wanda Garza"/>
        <s v="Anjolie Hicks"/>
        <s v="Asher Weber"/>
        <s v="Mercedes Humphrey"/>
        <s v="Hayes Rollins"/>
        <s v="Josiah Yates"/>
        <s v="Winifred Cantu"/>
        <s v="Germaine Kidd"/>
        <s v="Kenyon Joyce"/>
        <s v="Joel Rivers"/>
        <s v="Colby Knapp"/>
        <s v="Vance Campos"/>
        <s v="Lael Gould"/>
        <s v="Jane Hernandez"/>
        <s v="Dara Cunningham"/>
        <s v="Colette Sargent"/>
        <s v="Shea Cortez"/>
        <s v="Cyrus Whitley"/>
        <s v="Eleanor Hopper"/>
        <s v="Forrest Macdonald"/>
        <s v="Desirae Perkins"/>
        <s v="Barrett Mckinney"/>
        <s v="Basil Vang"/>
        <s v="Noel Key"/>
        <s v="Ebony Mercer"/>
        <s v="Isaac Cooper"/>
        <s v="James Spencer"/>
        <s v="Clark Orr"/>
        <s v="Phillip Perkins"/>
        <s v="Uriel Benton"/>
        <s v="Aretha Patton"/>
        <s v="Thomas Barnes"/>
        <s v="Victoria Solis"/>
        <s v="Arsenio Knowles"/>
        <s v="Ryder Conner"/>
        <s v="Roary Dixon"/>
        <s v="Silas Battle"/>
        <s v="Leonard Cardenas"/>
        <s v="Brittany Burris"/>
        <s v="Petra Mckenzie"/>
        <s v="Angela Wise"/>
      </sharedItems>
    </cacheField>
    <cacheField name="Country" numFmtId="0">
      <sharedItems count="87">
        <s v="France"/>
        <s v="Malawi"/>
        <s v="Colombia"/>
        <s v="Canada"/>
        <s v="Mongolia"/>
        <s v="Finland"/>
        <s v="Vanuatu"/>
        <s v="Burkina Faso"/>
        <s v="Tanzania, United Republic of"/>
        <s v="Albania"/>
        <s v="Botswana"/>
        <s v="Burundi"/>
        <s v="Zimbabwe"/>
        <s v="Iceland"/>
        <s v="Tunisia"/>
        <s v="French Southern Territories"/>
        <s v="Brazil"/>
        <s v="Trinidad and Tobago"/>
        <s v="Montserrat"/>
        <s v="Azerbaijan"/>
        <s v="Mauritania"/>
        <s v="Tuvalu"/>
        <s v="Hungary"/>
        <s v="Chad"/>
        <s v="Indonesia"/>
        <s v="Fiji"/>
        <s v="United States"/>
        <s v="Panama"/>
        <s v="Uruguay"/>
        <s v="Malaysia"/>
        <s v="Malta"/>
        <s v="Reunion"/>
        <s v="Korea"/>
        <s v="Georgia"/>
        <s v="Sierra Leone"/>
        <s v="Western Sahara"/>
        <s v="Falkland Islands (Malvinas)"/>
        <s v="Croatia"/>
        <s v="Cuba"/>
        <s v="Gabon"/>
        <s v="Dominican Republic"/>
        <s v="Niue"/>
        <s v="Yemen"/>
        <s v="Bangladesh"/>
        <s v="Tonga"/>
        <s v="Palau"/>
        <s v="Philippines"/>
        <s v="Bouvet Island"/>
        <s v="Cocos (Keeling) Islands"/>
        <s v="Liberia"/>
        <s v="Niger"/>
        <s v="Madagascar"/>
        <s v="Guinea"/>
        <s v="Slovenia"/>
        <s v="Svalbard and Jan Mayen"/>
        <s v="Korea, Republic of"/>
        <s v="Denmark"/>
        <s v="Poland"/>
        <s v="Solomon Islands"/>
        <s v="United States Minor Outlying Islands"/>
        <s v="Guadeloupe"/>
        <s v="Puerto Rico"/>
        <s v="Kyrgyzstan"/>
        <s v="Turks and Caicos Islands"/>
        <s v="Macedonia"/>
        <s v="Turkey"/>
        <s v="Nepal"/>
        <s v="Kazakhstan"/>
        <s v="Australia"/>
        <s v="Pakistan"/>
        <s v="Syrian Arab Republic"/>
        <s v="El Salvador"/>
        <s v="Saint Helena"/>
        <s v="Norfolk Island"/>
        <s v="India"/>
        <s v="New Caledonia"/>
        <s v="Chile"/>
        <s v="Moldova"/>
        <s v="Gambia"/>
        <s v="Cape Verde"/>
        <s v="Netherlands Antilles"/>
        <s v="Nigeria"/>
        <s v="South Africa"/>
        <s v="Mayotte"/>
        <s v="Virgin Islands, British"/>
        <s v="Saudi Arabia"/>
        <s v="Morocco"/>
      </sharedItems>
    </cacheField>
    <cacheField name="Product Code" numFmtId="0">
      <sharedItems/>
    </cacheField>
    <cacheField name="Product" numFmtId="0">
      <sharedItems count="11">
        <s v="Super Soft Bulk - 2 Litres"/>
        <s v="Super Soft - 1 Litre"/>
        <s v="Detafast Stain Remover - 800ml"/>
        <s v="Super Soft - 500ml"/>
        <s v="Detafast Stain Remover - 200ml"/>
        <s v="Detafast Stain Remover - 100ml"/>
        <s v="Pure Soft Detergent - 250ml"/>
        <s v="Pure Soft Detergent - 200ml"/>
        <s v="Super Soft - 250ml"/>
        <s v="Pure Soft Detergent - 500ml"/>
        <s v="Pure Soft Detergent - 100ml"/>
      </sharedItems>
    </cacheField>
    <cacheField name="Sales Channel" numFmtId="0">
      <sharedItems count="3">
        <s v="Online"/>
        <s v="Direct"/>
        <s v="Retail"/>
      </sharedItems>
    </cacheField>
    <cacheField name="Date Sold" numFmtId="14">
      <sharedItems containsSemiMixedTypes="0" containsNonDate="0" containsDate="1" containsString="0" minDate="2012-01-03T00:00:00" maxDate="2012-12-30T00:00:00" count="82">
        <d v="2012-08-29T00:00:00"/>
        <d v="2012-08-24T00:00:00"/>
        <d v="2012-08-17T00:00:00"/>
        <d v="2012-06-10T00:00:00"/>
        <d v="2012-08-02T00:00:00"/>
        <d v="2012-06-18T00:00:00"/>
        <d v="2012-06-24T00:00:00"/>
        <d v="2012-08-13T00:00:00"/>
        <d v="2012-08-18T00:00:00"/>
        <d v="2012-08-26T00:00:00"/>
        <d v="2012-06-25T00:00:00"/>
        <d v="2012-01-07T00:00:00"/>
        <d v="2012-08-25T00:00:00"/>
        <d v="2012-08-11T00:00:00"/>
        <d v="2012-01-15T00:00:00"/>
        <d v="2012-06-22T00:00:00"/>
        <d v="2012-08-15T00:00:00"/>
        <d v="2012-06-14T00:00:00"/>
        <d v="2012-06-28T00:00:00"/>
        <d v="2012-01-04T00:00:00"/>
        <d v="2012-08-12T00:00:00"/>
        <d v="2012-01-31T00:00:00"/>
        <d v="2012-01-03T00:00:00"/>
        <d v="2012-08-10T00:00:00"/>
        <d v="2012-01-23T00:00:00"/>
        <d v="2012-02-11T00:00:00"/>
        <d v="2012-02-17T00:00:00"/>
        <d v="2012-02-27T00:00:00"/>
        <d v="2012-06-17T00:00:00"/>
        <d v="2012-07-22T00:00:00"/>
        <d v="2012-06-23T00:00:00"/>
        <d v="2012-07-19T00:00:00"/>
        <d v="2012-06-15T00:00:00"/>
        <d v="2012-07-09T00:00:00"/>
        <d v="2012-07-27T00:00:00"/>
        <d v="2012-07-04T00:00:00"/>
        <d v="2012-08-08T00:00:00"/>
        <d v="2012-07-24T00:00:00"/>
        <d v="2012-06-08T00:00:00"/>
        <d v="2012-07-13T00:00:00"/>
        <d v="2012-08-03T00:00:00"/>
        <d v="2012-08-21T00:00:00"/>
        <d v="2012-07-23T00:00:00"/>
        <d v="2012-07-07T00:00:00"/>
        <d v="2012-06-01T00:00:00"/>
        <d v="2012-07-02T00:00:00"/>
        <d v="2012-07-12T00:00:00"/>
        <d v="2012-08-05T00:00:00"/>
        <d v="2012-07-06T00:00:00"/>
        <d v="2012-06-07T00:00:00"/>
        <d v="2012-07-31T00:00:00"/>
        <d v="2012-08-22T00:00:00"/>
        <d v="2012-07-03T00:00:00"/>
        <d v="2012-08-01T00:00:00"/>
        <d v="2012-08-23T00:00:00"/>
        <d v="2012-12-22T00:00:00"/>
        <d v="2012-06-27T00:00:00"/>
        <d v="2012-06-11T00:00:00"/>
        <d v="2012-12-29T00:00:00"/>
        <d v="2012-07-11T00:00:00"/>
        <d v="2012-07-05T00:00:00"/>
        <d v="2012-06-03T00:00:00"/>
        <d v="2012-06-21T00:00:00"/>
        <d v="2012-07-17T00:00:00"/>
        <d v="2012-06-12T00:00:00"/>
        <d v="2012-12-27T00:00:00"/>
        <d v="2012-06-13T00:00:00"/>
        <d v="2012-04-27T00:00:00"/>
        <d v="2012-12-14T00:00:00"/>
        <d v="2012-12-13T00:00:00"/>
        <d v="2012-04-03T00:00:00"/>
        <d v="2012-04-29T00:00:00"/>
        <d v="2012-12-12T00:00:00"/>
        <d v="2012-12-05T00:00:00"/>
        <d v="2012-07-29T00:00:00"/>
        <d v="2012-04-10T00:00:00"/>
        <d v="2012-07-28T00:00:00"/>
        <d v="2012-04-24T00:00:00"/>
        <d v="2012-12-17T00:00:00"/>
        <d v="2012-04-30T00:00:00"/>
        <d v="2012-07-01T00:00:00"/>
        <d v="2012-04-21T00:00:00"/>
      </sharedItems>
      <fieldGroup par="12"/>
    </cacheField>
    <cacheField name="Month Sold" numFmtId="1">
      <sharedItems containsSemiMixedTypes="0" containsString="0" containsNumber="1" containsInteger="1" minValue="1" maxValue="12" count="7">
        <n v="8"/>
        <n v="6"/>
        <n v="1"/>
        <n v="2"/>
        <n v="7"/>
        <n v="12"/>
        <n v="4"/>
      </sharedItems>
    </cacheField>
    <cacheField name="Quantity" numFmtId="3">
      <sharedItems containsSemiMixedTypes="0" containsString="0" containsNumber="1" containsInteger="1" minValue="5" maxValue="208"/>
    </cacheField>
    <cacheField name="Unit Price" numFmtId="8">
      <sharedItems containsSemiMixedTypes="0" containsString="0" containsNumber="1" minValue="3" maxValue="14.5"/>
    </cacheField>
    <cacheField name="Revenue" numFmtId="165">
      <sharedItems containsSemiMixedTypes="0" containsString="0" containsNumber="1" minValue="30" maxValue="3016"/>
    </cacheField>
    <cacheField name="Days (Date Sold)" numFmtId="0" databaseField="0">
      <fieldGroup base="6">
        <rangePr groupBy="days" startDate="2012-01-03T00:00:00" endDate="2012-12-30T00:00:00"/>
        <groupItems count="368">
          <s v="&lt;1/3/201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2"/>
        </groupItems>
      </fieldGroup>
    </cacheField>
    <cacheField name="Months (Date Sold)" numFmtId="0" databaseField="0">
      <fieldGroup base="6">
        <rangePr groupBy="months" startDate="2012-01-03T00:00:00" endDate="2012-12-30T00:00:00"/>
        <groupItems count="14">
          <s v="&lt;1/3/2012"/>
          <s v="Jan"/>
          <s v="Feb"/>
          <s v="Mar"/>
          <s v="Apr"/>
          <s v="May"/>
          <s v="Jun"/>
          <s v="Jul"/>
          <s v="Aug"/>
          <s v="Sep"/>
          <s v="Oct"/>
          <s v="Nov"/>
          <s v="Dec"/>
          <s v="&gt;12/30/2012"/>
        </groupItems>
      </fieldGroup>
    </cacheField>
  </cacheFields>
  <extLst>
    <ext xmlns:x14="http://schemas.microsoft.com/office/spreadsheetml/2009/9/main" uri="{725AE2AE-9491-48be-B2B4-4EB974FC3084}">
      <x14:pivotCacheDefinition pivotCacheId="19827540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99.86591886574" createdVersion="8" refreshedVersion="8" minRefreshableVersion="3" recordCount="108" xr:uid="{283D9932-2420-48AD-BCE1-50587D0A2F30}">
  <cacheSource type="worksheet">
    <worksheetSource ref="I1:J1048576" sheet="Data"/>
  </cacheSource>
  <cacheFields count="2">
    <cacheField name="Quantity" numFmtId="0">
      <sharedItems containsString="0" containsBlank="1" containsNumber="1" containsInteger="1" minValue="5" maxValue="208"/>
    </cacheField>
    <cacheField name="Unit Price" numFmtId="0">
      <sharedItems containsString="0" containsBlank="1" containsNumber="1" minValue="3" maxValue="14.5" count="10">
        <n v="14.5"/>
        <n v="9.99"/>
        <n v="9"/>
        <n v="6.99"/>
        <n v="6.5"/>
        <n v="6"/>
        <n v="4.5"/>
        <n v="3.99"/>
        <n v="3"/>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23345"/>
    <x v="0"/>
    <x v="0"/>
    <s v="SUPA105"/>
    <x v="0"/>
    <x v="0"/>
    <x v="0"/>
    <x v="0"/>
    <n v="208"/>
    <n v="14.5"/>
    <n v="3016"/>
  </r>
  <r>
    <n v="23278"/>
    <x v="1"/>
    <x v="1"/>
    <s v="SUPA105"/>
    <x v="0"/>
    <x v="1"/>
    <x v="1"/>
    <x v="0"/>
    <n v="197"/>
    <n v="14.5"/>
    <n v="2856.5"/>
  </r>
  <r>
    <n v="23303"/>
    <x v="2"/>
    <x v="2"/>
    <s v="SUPA105"/>
    <x v="0"/>
    <x v="2"/>
    <x v="2"/>
    <x v="0"/>
    <n v="176"/>
    <n v="14.5"/>
    <n v="2552"/>
  </r>
  <r>
    <n v="23353"/>
    <x v="3"/>
    <x v="3"/>
    <s v="SUPA105"/>
    <x v="0"/>
    <x v="1"/>
    <x v="3"/>
    <x v="1"/>
    <n v="168"/>
    <n v="14.5"/>
    <n v="2436"/>
  </r>
  <r>
    <n v="23289"/>
    <x v="4"/>
    <x v="4"/>
    <s v="SUPA105"/>
    <x v="0"/>
    <x v="2"/>
    <x v="4"/>
    <x v="0"/>
    <n v="166"/>
    <n v="14.5"/>
    <n v="2407"/>
  </r>
  <r>
    <n v="23378"/>
    <x v="5"/>
    <x v="5"/>
    <s v="SUPA105"/>
    <x v="0"/>
    <x v="0"/>
    <x v="5"/>
    <x v="1"/>
    <n v="157"/>
    <n v="14.5"/>
    <n v="2276.5"/>
  </r>
  <r>
    <n v="23283"/>
    <x v="6"/>
    <x v="6"/>
    <s v="SUPA105"/>
    <x v="0"/>
    <x v="0"/>
    <x v="6"/>
    <x v="1"/>
    <n v="142"/>
    <n v="14.5"/>
    <n v="2059"/>
  </r>
  <r>
    <n v="23324"/>
    <x v="7"/>
    <x v="7"/>
    <s v="SUPA104"/>
    <x v="1"/>
    <x v="2"/>
    <x v="7"/>
    <x v="0"/>
    <n v="193"/>
    <n v="9.99"/>
    <n v="1928.07"/>
  </r>
  <r>
    <n v="23264"/>
    <x v="8"/>
    <x v="8"/>
    <s v="DETA800"/>
    <x v="2"/>
    <x v="0"/>
    <x v="8"/>
    <x v="0"/>
    <n v="205"/>
    <n v="9"/>
    <n v="1845"/>
  </r>
  <r>
    <n v="23291"/>
    <x v="9"/>
    <x v="9"/>
    <s v="DETA800"/>
    <x v="2"/>
    <x v="2"/>
    <x v="8"/>
    <x v="0"/>
    <n v="199"/>
    <n v="9"/>
    <n v="1791"/>
  </r>
  <r>
    <n v="23305"/>
    <x v="10"/>
    <x v="10"/>
    <s v="DETA800"/>
    <x v="2"/>
    <x v="0"/>
    <x v="9"/>
    <x v="0"/>
    <n v="188"/>
    <n v="9"/>
    <n v="1692"/>
  </r>
  <r>
    <n v="23350"/>
    <x v="11"/>
    <x v="11"/>
    <s v="DETA800"/>
    <x v="2"/>
    <x v="0"/>
    <x v="10"/>
    <x v="1"/>
    <n v="188"/>
    <n v="9"/>
    <n v="1692"/>
  </r>
  <r>
    <n v="23300"/>
    <x v="12"/>
    <x v="12"/>
    <s v="SUPA104"/>
    <x v="1"/>
    <x v="0"/>
    <x v="11"/>
    <x v="2"/>
    <n v="167"/>
    <n v="9.99"/>
    <n v="1668.33"/>
  </r>
  <r>
    <n v="23348"/>
    <x v="13"/>
    <x v="13"/>
    <s v="SUPA104"/>
    <x v="1"/>
    <x v="2"/>
    <x v="12"/>
    <x v="0"/>
    <n v="163"/>
    <n v="9.99"/>
    <n v="1628.3700000000001"/>
  </r>
  <r>
    <n v="23290"/>
    <x v="14"/>
    <x v="14"/>
    <s v="DETA800"/>
    <x v="2"/>
    <x v="0"/>
    <x v="13"/>
    <x v="0"/>
    <n v="170"/>
    <n v="9"/>
    <n v="1530"/>
  </r>
  <r>
    <n v="23328"/>
    <x v="15"/>
    <x v="15"/>
    <s v="SUPA105"/>
    <x v="0"/>
    <x v="2"/>
    <x v="14"/>
    <x v="2"/>
    <n v="102"/>
    <n v="14.5"/>
    <n v="1479"/>
  </r>
  <r>
    <n v="23294"/>
    <x v="16"/>
    <x v="16"/>
    <s v="DETA800"/>
    <x v="2"/>
    <x v="2"/>
    <x v="15"/>
    <x v="1"/>
    <n v="160"/>
    <n v="9"/>
    <n v="1440"/>
  </r>
  <r>
    <n v="23371"/>
    <x v="17"/>
    <x v="17"/>
    <s v="SUPA103"/>
    <x v="3"/>
    <x v="0"/>
    <x v="16"/>
    <x v="0"/>
    <n v="204"/>
    <n v="6.99"/>
    <n v="1425.96"/>
  </r>
  <r>
    <n v="23288"/>
    <x v="18"/>
    <x v="18"/>
    <s v="SUPA104"/>
    <x v="1"/>
    <x v="1"/>
    <x v="17"/>
    <x v="1"/>
    <n v="141"/>
    <n v="9.99"/>
    <n v="1408.59"/>
  </r>
  <r>
    <n v="23347"/>
    <x v="19"/>
    <x v="19"/>
    <s v="DETA800"/>
    <x v="2"/>
    <x v="0"/>
    <x v="18"/>
    <x v="1"/>
    <n v="147"/>
    <n v="9"/>
    <n v="1323"/>
  </r>
  <r>
    <n v="23361"/>
    <x v="20"/>
    <x v="20"/>
    <s v="SUPA103"/>
    <x v="3"/>
    <x v="0"/>
    <x v="11"/>
    <x v="2"/>
    <n v="184"/>
    <n v="6.99"/>
    <n v="1286.1600000000001"/>
  </r>
  <r>
    <n v="23275"/>
    <x v="21"/>
    <x v="21"/>
    <s v="DETA800"/>
    <x v="2"/>
    <x v="2"/>
    <x v="19"/>
    <x v="2"/>
    <n v="141"/>
    <n v="9"/>
    <n v="1269"/>
  </r>
  <r>
    <n v="23297"/>
    <x v="22"/>
    <x v="22"/>
    <s v="DETA800"/>
    <x v="2"/>
    <x v="0"/>
    <x v="20"/>
    <x v="0"/>
    <n v="135"/>
    <n v="9"/>
    <n v="1215"/>
  </r>
  <r>
    <n v="23327"/>
    <x v="23"/>
    <x v="23"/>
    <s v="DETA200"/>
    <x v="4"/>
    <x v="2"/>
    <x v="21"/>
    <x v="2"/>
    <n v="176"/>
    <n v="6.5"/>
    <n v="1144"/>
  </r>
  <r>
    <n v="23325"/>
    <x v="24"/>
    <x v="24"/>
    <s v="DETA100"/>
    <x v="5"/>
    <x v="2"/>
    <x v="15"/>
    <x v="1"/>
    <n v="184"/>
    <n v="6"/>
    <n v="1104"/>
  </r>
  <r>
    <n v="23292"/>
    <x v="25"/>
    <x v="25"/>
    <s v="SUPA105"/>
    <x v="0"/>
    <x v="0"/>
    <x v="22"/>
    <x v="2"/>
    <n v="73"/>
    <n v="14.5"/>
    <n v="1058.5"/>
  </r>
  <r>
    <n v="23335"/>
    <x v="26"/>
    <x v="26"/>
    <s v="DETA800"/>
    <x v="2"/>
    <x v="0"/>
    <x v="7"/>
    <x v="0"/>
    <n v="116"/>
    <n v="9"/>
    <n v="1044"/>
  </r>
  <r>
    <n v="23314"/>
    <x v="27"/>
    <x v="27"/>
    <s v="SUPA104"/>
    <x v="1"/>
    <x v="2"/>
    <x v="23"/>
    <x v="0"/>
    <n v="95"/>
    <n v="9.99"/>
    <n v="949.05000000000007"/>
  </r>
  <r>
    <n v="23329"/>
    <x v="28"/>
    <x v="28"/>
    <s v="PURA250"/>
    <x v="6"/>
    <x v="2"/>
    <x v="24"/>
    <x v="2"/>
    <n v="203"/>
    <n v="4.5"/>
    <n v="913.5"/>
  </r>
  <r>
    <n v="23332"/>
    <x v="29"/>
    <x v="29"/>
    <s v="PURA250"/>
    <x v="6"/>
    <x v="1"/>
    <x v="25"/>
    <x v="3"/>
    <n v="203"/>
    <n v="4.5"/>
    <n v="913.5"/>
  </r>
  <r>
    <n v="23317"/>
    <x v="30"/>
    <x v="30"/>
    <s v="PURA250"/>
    <x v="6"/>
    <x v="1"/>
    <x v="26"/>
    <x v="3"/>
    <n v="196"/>
    <n v="4.5"/>
    <n v="882"/>
  </r>
  <r>
    <n v="23271"/>
    <x v="31"/>
    <x v="31"/>
    <s v="SUPA103"/>
    <x v="3"/>
    <x v="2"/>
    <x v="27"/>
    <x v="3"/>
    <n v="125"/>
    <n v="6.99"/>
    <n v="873.75"/>
  </r>
  <r>
    <n v="23287"/>
    <x v="32"/>
    <x v="32"/>
    <s v="PURA250"/>
    <x v="6"/>
    <x v="2"/>
    <x v="28"/>
    <x v="1"/>
    <n v="189"/>
    <n v="4.5"/>
    <n v="850.5"/>
  </r>
  <r>
    <n v="23349"/>
    <x v="33"/>
    <x v="33"/>
    <s v="DETA200"/>
    <x v="4"/>
    <x v="2"/>
    <x v="29"/>
    <x v="4"/>
    <n v="126"/>
    <n v="6.5"/>
    <n v="819"/>
  </r>
  <r>
    <n v="23309"/>
    <x v="34"/>
    <x v="34"/>
    <s v="PURA200"/>
    <x v="7"/>
    <x v="0"/>
    <x v="30"/>
    <x v="1"/>
    <n v="201"/>
    <n v="3.99"/>
    <n v="801.99"/>
  </r>
  <r>
    <n v="23338"/>
    <x v="35"/>
    <x v="35"/>
    <s v="PURA250"/>
    <x v="6"/>
    <x v="2"/>
    <x v="20"/>
    <x v="0"/>
    <n v="178"/>
    <n v="4.5"/>
    <n v="801"/>
  </r>
  <r>
    <n v="23301"/>
    <x v="36"/>
    <x v="36"/>
    <s v="SUPA103"/>
    <x v="3"/>
    <x v="2"/>
    <x v="31"/>
    <x v="4"/>
    <n v="108"/>
    <n v="6.99"/>
    <n v="754.92000000000007"/>
  </r>
  <r>
    <n v="23320"/>
    <x v="37"/>
    <x v="37"/>
    <s v="DETA100"/>
    <x v="5"/>
    <x v="1"/>
    <x v="32"/>
    <x v="1"/>
    <n v="125"/>
    <n v="6"/>
    <n v="750"/>
  </r>
  <r>
    <n v="23365"/>
    <x v="38"/>
    <x v="38"/>
    <s v="SUPA102"/>
    <x v="8"/>
    <x v="2"/>
    <x v="33"/>
    <x v="4"/>
    <n v="165"/>
    <n v="4.5"/>
    <n v="742.5"/>
  </r>
  <r>
    <n v="23302"/>
    <x v="39"/>
    <x v="27"/>
    <s v="PURA500"/>
    <x v="9"/>
    <x v="0"/>
    <x v="34"/>
    <x v="4"/>
    <n v="105"/>
    <n v="6.5"/>
    <n v="682.5"/>
  </r>
  <r>
    <n v="23266"/>
    <x v="40"/>
    <x v="39"/>
    <s v="PURA200"/>
    <x v="7"/>
    <x v="0"/>
    <x v="13"/>
    <x v="0"/>
    <n v="170"/>
    <n v="3.99"/>
    <n v="678.30000000000007"/>
  </r>
  <r>
    <n v="23307"/>
    <x v="41"/>
    <x v="40"/>
    <s v="DETA100"/>
    <x v="5"/>
    <x v="2"/>
    <x v="35"/>
    <x v="4"/>
    <n v="113"/>
    <n v="6"/>
    <n v="678"/>
  </r>
  <r>
    <n v="23368"/>
    <x v="42"/>
    <x v="41"/>
    <s v="SUPA102"/>
    <x v="8"/>
    <x v="2"/>
    <x v="12"/>
    <x v="0"/>
    <n v="150"/>
    <n v="4.5"/>
    <n v="675"/>
  </r>
  <r>
    <n v="23286"/>
    <x v="43"/>
    <x v="42"/>
    <s v="DETA800"/>
    <x v="2"/>
    <x v="0"/>
    <x v="36"/>
    <x v="0"/>
    <n v="69"/>
    <n v="9"/>
    <n v="621"/>
  </r>
  <r>
    <n v="23373"/>
    <x v="44"/>
    <x v="43"/>
    <s v="DETA200"/>
    <x v="4"/>
    <x v="0"/>
    <x v="37"/>
    <x v="4"/>
    <n v="95"/>
    <n v="6.5"/>
    <n v="617.5"/>
  </r>
  <r>
    <n v="23380"/>
    <x v="45"/>
    <x v="44"/>
    <s v="PURA500"/>
    <x v="9"/>
    <x v="2"/>
    <x v="29"/>
    <x v="4"/>
    <n v="95"/>
    <n v="6.5"/>
    <n v="617.5"/>
  </r>
  <r>
    <n v="23284"/>
    <x v="46"/>
    <x v="45"/>
    <s v="PURA250"/>
    <x v="6"/>
    <x v="2"/>
    <x v="28"/>
    <x v="1"/>
    <n v="135"/>
    <n v="4.5"/>
    <n v="607.5"/>
  </r>
  <r>
    <n v="23306"/>
    <x v="47"/>
    <x v="46"/>
    <s v="DETA200"/>
    <x v="4"/>
    <x v="0"/>
    <x v="38"/>
    <x v="1"/>
    <n v="93"/>
    <n v="6.5"/>
    <n v="604.5"/>
  </r>
  <r>
    <n v="23281"/>
    <x v="48"/>
    <x v="47"/>
    <s v="SUPA102"/>
    <x v="8"/>
    <x v="2"/>
    <x v="39"/>
    <x v="4"/>
    <n v="134"/>
    <n v="4.5"/>
    <n v="603"/>
  </r>
  <r>
    <n v="23351"/>
    <x v="49"/>
    <x v="48"/>
    <s v="PURA200"/>
    <x v="7"/>
    <x v="0"/>
    <x v="40"/>
    <x v="0"/>
    <n v="151"/>
    <n v="3.99"/>
    <n v="602.49"/>
  </r>
  <r>
    <n v="23282"/>
    <x v="50"/>
    <x v="49"/>
    <s v="DETA100"/>
    <x v="5"/>
    <x v="2"/>
    <x v="41"/>
    <x v="0"/>
    <n v="100"/>
    <n v="6"/>
    <n v="600"/>
  </r>
  <r>
    <n v="23376"/>
    <x v="51"/>
    <x v="50"/>
    <s v="SUPA103"/>
    <x v="3"/>
    <x v="1"/>
    <x v="42"/>
    <x v="4"/>
    <n v="85"/>
    <n v="6.99"/>
    <n v="594.15"/>
  </r>
  <r>
    <n v="23354"/>
    <x v="52"/>
    <x v="51"/>
    <s v="SUPA103"/>
    <x v="3"/>
    <x v="0"/>
    <x v="40"/>
    <x v="0"/>
    <n v="84"/>
    <n v="6.99"/>
    <n v="587.16"/>
  </r>
  <r>
    <n v="23337"/>
    <x v="53"/>
    <x v="52"/>
    <s v="SUPA103"/>
    <x v="3"/>
    <x v="2"/>
    <x v="43"/>
    <x v="4"/>
    <n v="82"/>
    <n v="6.99"/>
    <n v="573.18000000000006"/>
  </r>
  <r>
    <n v="23326"/>
    <x v="54"/>
    <x v="53"/>
    <s v="SUPA102"/>
    <x v="8"/>
    <x v="2"/>
    <x v="41"/>
    <x v="0"/>
    <n v="126"/>
    <n v="4.5"/>
    <n v="567"/>
  </r>
  <r>
    <n v="23316"/>
    <x v="55"/>
    <x v="54"/>
    <s v="PURA200"/>
    <x v="7"/>
    <x v="2"/>
    <x v="44"/>
    <x v="1"/>
    <n v="137"/>
    <n v="3.99"/>
    <n v="546.63"/>
  </r>
  <r>
    <n v="23362"/>
    <x v="56"/>
    <x v="55"/>
    <s v="PURA100"/>
    <x v="10"/>
    <x v="0"/>
    <x v="8"/>
    <x v="0"/>
    <n v="179"/>
    <n v="3"/>
    <n v="537"/>
  </r>
  <r>
    <n v="23296"/>
    <x v="57"/>
    <x v="56"/>
    <s v="SUPA105"/>
    <x v="0"/>
    <x v="2"/>
    <x v="38"/>
    <x v="1"/>
    <n v="37"/>
    <n v="14.5"/>
    <n v="536.5"/>
  </r>
  <r>
    <n v="23352"/>
    <x v="58"/>
    <x v="57"/>
    <s v="DETA100"/>
    <x v="5"/>
    <x v="0"/>
    <x v="43"/>
    <x v="4"/>
    <n v="89"/>
    <n v="6"/>
    <n v="534"/>
  </r>
  <r>
    <n v="23304"/>
    <x v="59"/>
    <x v="58"/>
    <s v="PURA200"/>
    <x v="7"/>
    <x v="2"/>
    <x v="44"/>
    <x v="1"/>
    <n v="131"/>
    <n v="3.99"/>
    <n v="522.69000000000005"/>
  </r>
  <r>
    <n v="23369"/>
    <x v="60"/>
    <x v="59"/>
    <s v="PURA500"/>
    <x v="9"/>
    <x v="2"/>
    <x v="45"/>
    <x v="4"/>
    <n v="77"/>
    <n v="6.5"/>
    <n v="500.5"/>
  </r>
  <r>
    <n v="23268"/>
    <x v="61"/>
    <x v="60"/>
    <s v="DETA100"/>
    <x v="5"/>
    <x v="0"/>
    <x v="46"/>
    <x v="4"/>
    <n v="82"/>
    <n v="6"/>
    <n v="492"/>
  </r>
  <r>
    <n v="23315"/>
    <x v="62"/>
    <x v="7"/>
    <s v="PURA250"/>
    <x v="6"/>
    <x v="2"/>
    <x v="46"/>
    <x v="4"/>
    <n v="109"/>
    <n v="4.5"/>
    <n v="490.5"/>
  </r>
  <r>
    <n v="23342"/>
    <x v="63"/>
    <x v="61"/>
    <s v="PURA200"/>
    <x v="7"/>
    <x v="0"/>
    <x v="18"/>
    <x v="1"/>
    <n v="122"/>
    <n v="3.99"/>
    <n v="486.78000000000003"/>
  </r>
  <r>
    <n v="23333"/>
    <x v="64"/>
    <x v="30"/>
    <s v="PURA250"/>
    <x v="6"/>
    <x v="0"/>
    <x v="47"/>
    <x v="0"/>
    <n v="106"/>
    <n v="4.5"/>
    <n v="477"/>
  </r>
  <r>
    <n v="23263"/>
    <x v="65"/>
    <x v="27"/>
    <s v="DETA200"/>
    <x v="4"/>
    <x v="0"/>
    <x v="48"/>
    <x v="4"/>
    <n v="73"/>
    <n v="6.5"/>
    <n v="474.5"/>
  </r>
  <r>
    <n v="23270"/>
    <x v="66"/>
    <x v="62"/>
    <s v="SUPA103"/>
    <x v="3"/>
    <x v="2"/>
    <x v="49"/>
    <x v="1"/>
    <n v="67"/>
    <n v="6.99"/>
    <n v="468.33000000000004"/>
  </r>
  <r>
    <n v="23272"/>
    <x v="67"/>
    <x v="63"/>
    <s v="DETA200"/>
    <x v="4"/>
    <x v="1"/>
    <x v="50"/>
    <x v="4"/>
    <n v="71"/>
    <n v="6.5"/>
    <n v="461.5"/>
  </r>
  <r>
    <n v="23274"/>
    <x v="68"/>
    <x v="64"/>
    <s v="PURA100"/>
    <x v="10"/>
    <x v="2"/>
    <x v="51"/>
    <x v="0"/>
    <n v="153"/>
    <n v="3"/>
    <n v="459"/>
  </r>
  <r>
    <n v="23364"/>
    <x v="69"/>
    <x v="65"/>
    <s v="DETA800"/>
    <x v="2"/>
    <x v="0"/>
    <x v="52"/>
    <x v="4"/>
    <n v="47"/>
    <n v="9"/>
    <n v="423"/>
  </r>
  <r>
    <n v="23276"/>
    <x v="70"/>
    <x v="66"/>
    <s v="PURA500"/>
    <x v="9"/>
    <x v="0"/>
    <x v="53"/>
    <x v="0"/>
    <n v="65"/>
    <n v="6.5"/>
    <n v="422.5"/>
  </r>
  <r>
    <n v="23343"/>
    <x v="71"/>
    <x v="43"/>
    <s v="SUPA104"/>
    <x v="1"/>
    <x v="0"/>
    <x v="54"/>
    <x v="0"/>
    <n v="42"/>
    <n v="9.99"/>
    <n v="419.58"/>
  </r>
  <r>
    <n v="23344"/>
    <x v="72"/>
    <x v="67"/>
    <s v="DETA200"/>
    <x v="4"/>
    <x v="0"/>
    <x v="55"/>
    <x v="5"/>
    <n v="64"/>
    <n v="6.5"/>
    <n v="416"/>
  </r>
  <r>
    <n v="23299"/>
    <x v="73"/>
    <x v="50"/>
    <s v="PURA200"/>
    <x v="7"/>
    <x v="2"/>
    <x v="56"/>
    <x v="1"/>
    <n v="104"/>
    <n v="3.99"/>
    <n v="414.96000000000004"/>
  </r>
  <r>
    <n v="23310"/>
    <x v="74"/>
    <x v="3"/>
    <s v="SUPA104"/>
    <x v="1"/>
    <x v="0"/>
    <x v="28"/>
    <x v="1"/>
    <n v="41"/>
    <n v="9.99"/>
    <n v="409.59000000000003"/>
  </r>
  <r>
    <n v="23358"/>
    <x v="75"/>
    <x v="68"/>
    <s v="SUPA104"/>
    <x v="1"/>
    <x v="2"/>
    <x v="57"/>
    <x v="1"/>
    <n v="41"/>
    <n v="9.99"/>
    <n v="409.59000000000003"/>
  </r>
  <r>
    <n v="23323"/>
    <x v="76"/>
    <x v="69"/>
    <s v="PURA100"/>
    <x v="10"/>
    <x v="0"/>
    <x v="58"/>
    <x v="5"/>
    <n v="135"/>
    <n v="3"/>
    <n v="405"/>
  </r>
  <r>
    <n v="23267"/>
    <x v="77"/>
    <x v="70"/>
    <s v="PURA100"/>
    <x v="10"/>
    <x v="0"/>
    <x v="59"/>
    <x v="4"/>
    <n v="129"/>
    <n v="3"/>
    <n v="387"/>
  </r>
  <r>
    <n v="23340"/>
    <x v="78"/>
    <x v="71"/>
    <s v="SUPA102"/>
    <x v="8"/>
    <x v="0"/>
    <x v="60"/>
    <x v="4"/>
    <n v="85"/>
    <n v="4.5"/>
    <n v="382.5"/>
  </r>
  <r>
    <n v="23269"/>
    <x v="79"/>
    <x v="64"/>
    <s v="PURA100"/>
    <x v="10"/>
    <x v="0"/>
    <x v="61"/>
    <x v="1"/>
    <n v="116"/>
    <n v="3"/>
    <n v="348"/>
  </r>
  <r>
    <n v="23308"/>
    <x v="80"/>
    <x v="72"/>
    <s v="PURA100"/>
    <x v="10"/>
    <x v="2"/>
    <x v="33"/>
    <x v="4"/>
    <n v="112"/>
    <n v="3"/>
    <n v="336"/>
  </r>
  <r>
    <n v="23356"/>
    <x v="81"/>
    <x v="73"/>
    <s v="PURA200"/>
    <x v="7"/>
    <x v="0"/>
    <x v="62"/>
    <x v="1"/>
    <n v="80"/>
    <n v="3.99"/>
    <n v="319.20000000000005"/>
  </r>
  <r>
    <n v="23318"/>
    <x v="82"/>
    <x v="74"/>
    <s v="DETA200"/>
    <x v="4"/>
    <x v="0"/>
    <x v="33"/>
    <x v="4"/>
    <n v="48"/>
    <n v="6.5"/>
    <n v="312"/>
  </r>
  <r>
    <n v="23357"/>
    <x v="83"/>
    <x v="56"/>
    <s v="DETA100"/>
    <x v="5"/>
    <x v="2"/>
    <x v="63"/>
    <x v="4"/>
    <n v="50"/>
    <n v="6"/>
    <n v="300"/>
  </r>
  <r>
    <n v="23377"/>
    <x v="84"/>
    <x v="51"/>
    <s v="PURA500"/>
    <x v="9"/>
    <x v="0"/>
    <x v="32"/>
    <x v="1"/>
    <n v="43"/>
    <n v="6.5"/>
    <n v="279.5"/>
  </r>
  <r>
    <n v="23311"/>
    <x v="85"/>
    <x v="75"/>
    <s v="SUPA105"/>
    <x v="0"/>
    <x v="2"/>
    <x v="64"/>
    <x v="1"/>
    <n v="18"/>
    <n v="14.5"/>
    <n v="261"/>
  </r>
  <r>
    <n v="23379"/>
    <x v="86"/>
    <x v="76"/>
    <s v="PURA200"/>
    <x v="7"/>
    <x v="0"/>
    <x v="65"/>
    <x v="5"/>
    <n v="65"/>
    <n v="3.99"/>
    <n v="259.35000000000002"/>
  </r>
  <r>
    <n v="23360"/>
    <x v="87"/>
    <x v="70"/>
    <s v="SUPA103"/>
    <x v="3"/>
    <x v="0"/>
    <x v="66"/>
    <x v="1"/>
    <n v="37"/>
    <n v="6.99"/>
    <n v="258.63"/>
  </r>
  <r>
    <n v="23339"/>
    <x v="88"/>
    <x v="77"/>
    <s v="DETA100"/>
    <x v="5"/>
    <x v="0"/>
    <x v="59"/>
    <x v="4"/>
    <n v="41"/>
    <n v="6"/>
    <n v="246"/>
  </r>
  <r>
    <n v="23341"/>
    <x v="89"/>
    <x v="78"/>
    <s v="PURA100"/>
    <x v="10"/>
    <x v="2"/>
    <x v="67"/>
    <x v="6"/>
    <n v="77"/>
    <n v="3"/>
    <n v="231"/>
  </r>
  <r>
    <n v="23374"/>
    <x v="90"/>
    <x v="79"/>
    <s v="PURA200"/>
    <x v="7"/>
    <x v="0"/>
    <x v="68"/>
    <x v="5"/>
    <n v="57"/>
    <n v="3.99"/>
    <n v="227.43"/>
  </r>
  <r>
    <n v="23273"/>
    <x v="91"/>
    <x v="80"/>
    <s v="SUPA104"/>
    <x v="1"/>
    <x v="0"/>
    <x v="69"/>
    <x v="5"/>
    <n v="22"/>
    <n v="9.99"/>
    <n v="219.78"/>
  </r>
  <r>
    <n v="23280"/>
    <x v="92"/>
    <x v="7"/>
    <s v="SUPA103"/>
    <x v="3"/>
    <x v="0"/>
    <x v="70"/>
    <x v="6"/>
    <n v="30"/>
    <n v="6.99"/>
    <n v="209.70000000000002"/>
  </r>
  <r>
    <n v="23370"/>
    <x v="93"/>
    <x v="24"/>
    <s v="PURA100"/>
    <x v="10"/>
    <x v="2"/>
    <x v="71"/>
    <x v="6"/>
    <n v="63"/>
    <n v="3"/>
    <n v="189"/>
  </r>
  <r>
    <n v="23372"/>
    <x v="94"/>
    <x v="81"/>
    <s v="PURA500"/>
    <x v="9"/>
    <x v="0"/>
    <x v="72"/>
    <x v="5"/>
    <n v="22"/>
    <n v="6.5"/>
    <n v="143"/>
  </r>
  <r>
    <n v="23265"/>
    <x v="95"/>
    <x v="82"/>
    <s v="SUPA104"/>
    <x v="1"/>
    <x v="2"/>
    <x v="73"/>
    <x v="5"/>
    <n v="14"/>
    <n v="9.99"/>
    <n v="139.86000000000001"/>
  </r>
  <r>
    <n v="23346"/>
    <x v="96"/>
    <x v="47"/>
    <s v="SUPA104"/>
    <x v="1"/>
    <x v="0"/>
    <x v="74"/>
    <x v="4"/>
    <n v="13"/>
    <n v="9.99"/>
    <n v="129.87"/>
  </r>
  <r>
    <n v="23312"/>
    <x v="97"/>
    <x v="83"/>
    <s v="PURA200"/>
    <x v="7"/>
    <x v="0"/>
    <x v="48"/>
    <x v="4"/>
    <n v="28"/>
    <n v="3.99"/>
    <n v="111.72"/>
  </r>
  <r>
    <n v="23355"/>
    <x v="98"/>
    <x v="45"/>
    <s v="PURA250"/>
    <x v="6"/>
    <x v="0"/>
    <x v="67"/>
    <x v="6"/>
    <n v="16"/>
    <n v="4.5"/>
    <n v="72"/>
  </r>
  <r>
    <n v="23322"/>
    <x v="99"/>
    <x v="29"/>
    <s v="PURA100"/>
    <x v="10"/>
    <x v="2"/>
    <x v="75"/>
    <x v="6"/>
    <n v="20"/>
    <n v="3"/>
    <n v="60"/>
  </r>
  <r>
    <n v="23298"/>
    <x v="100"/>
    <x v="84"/>
    <s v="PURA250"/>
    <x v="6"/>
    <x v="1"/>
    <x v="76"/>
    <x v="4"/>
    <n v="12"/>
    <n v="4.5"/>
    <n v="54"/>
  </r>
  <r>
    <n v="23367"/>
    <x v="101"/>
    <x v="85"/>
    <s v="PURA250"/>
    <x v="6"/>
    <x v="2"/>
    <x v="77"/>
    <x v="6"/>
    <n v="10"/>
    <n v="4.5"/>
    <n v="45"/>
  </r>
  <r>
    <n v="23334"/>
    <x v="102"/>
    <x v="41"/>
    <s v="PURA100"/>
    <x v="10"/>
    <x v="0"/>
    <x v="78"/>
    <x v="5"/>
    <n v="14"/>
    <n v="3"/>
    <n v="42"/>
  </r>
  <r>
    <n v="23285"/>
    <x v="103"/>
    <x v="51"/>
    <s v="SUPA102"/>
    <x v="8"/>
    <x v="2"/>
    <x v="37"/>
    <x v="4"/>
    <n v="9"/>
    <n v="4.5"/>
    <n v="40.5"/>
  </r>
  <r>
    <n v="23375"/>
    <x v="104"/>
    <x v="45"/>
    <s v="SUPA103"/>
    <x v="3"/>
    <x v="2"/>
    <x v="79"/>
    <x v="6"/>
    <n v="5"/>
    <n v="6.99"/>
    <n v="34.950000000000003"/>
  </r>
  <r>
    <n v="23336"/>
    <x v="105"/>
    <x v="86"/>
    <s v="SUPA102"/>
    <x v="8"/>
    <x v="2"/>
    <x v="80"/>
    <x v="4"/>
    <n v="7"/>
    <n v="4.5"/>
    <n v="31.5"/>
  </r>
  <r>
    <n v="23279"/>
    <x v="106"/>
    <x v="77"/>
    <s v="PURA100"/>
    <x v="10"/>
    <x v="0"/>
    <x v="81"/>
    <x v="6"/>
    <n v="10"/>
    <n v="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n v="208"/>
    <x v="0"/>
  </r>
  <r>
    <n v="197"/>
    <x v="0"/>
  </r>
  <r>
    <n v="176"/>
    <x v="0"/>
  </r>
  <r>
    <n v="168"/>
    <x v="0"/>
  </r>
  <r>
    <n v="166"/>
    <x v="0"/>
  </r>
  <r>
    <n v="157"/>
    <x v="0"/>
  </r>
  <r>
    <n v="142"/>
    <x v="0"/>
  </r>
  <r>
    <n v="193"/>
    <x v="1"/>
  </r>
  <r>
    <n v="205"/>
    <x v="2"/>
  </r>
  <r>
    <n v="199"/>
    <x v="2"/>
  </r>
  <r>
    <n v="188"/>
    <x v="2"/>
  </r>
  <r>
    <n v="188"/>
    <x v="2"/>
  </r>
  <r>
    <n v="167"/>
    <x v="1"/>
  </r>
  <r>
    <n v="163"/>
    <x v="1"/>
  </r>
  <r>
    <n v="170"/>
    <x v="2"/>
  </r>
  <r>
    <n v="102"/>
    <x v="0"/>
  </r>
  <r>
    <n v="160"/>
    <x v="2"/>
  </r>
  <r>
    <n v="204"/>
    <x v="3"/>
  </r>
  <r>
    <n v="141"/>
    <x v="1"/>
  </r>
  <r>
    <n v="147"/>
    <x v="2"/>
  </r>
  <r>
    <n v="184"/>
    <x v="3"/>
  </r>
  <r>
    <n v="141"/>
    <x v="2"/>
  </r>
  <r>
    <n v="135"/>
    <x v="2"/>
  </r>
  <r>
    <n v="176"/>
    <x v="4"/>
  </r>
  <r>
    <n v="184"/>
    <x v="5"/>
  </r>
  <r>
    <n v="73"/>
    <x v="0"/>
  </r>
  <r>
    <n v="116"/>
    <x v="2"/>
  </r>
  <r>
    <n v="95"/>
    <x v="1"/>
  </r>
  <r>
    <n v="203"/>
    <x v="6"/>
  </r>
  <r>
    <n v="203"/>
    <x v="6"/>
  </r>
  <r>
    <n v="196"/>
    <x v="6"/>
  </r>
  <r>
    <n v="125"/>
    <x v="3"/>
  </r>
  <r>
    <n v="189"/>
    <x v="6"/>
  </r>
  <r>
    <n v="126"/>
    <x v="4"/>
  </r>
  <r>
    <n v="201"/>
    <x v="7"/>
  </r>
  <r>
    <n v="178"/>
    <x v="6"/>
  </r>
  <r>
    <n v="108"/>
    <x v="3"/>
  </r>
  <r>
    <n v="125"/>
    <x v="5"/>
  </r>
  <r>
    <n v="165"/>
    <x v="6"/>
  </r>
  <r>
    <n v="105"/>
    <x v="4"/>
  </r>
  <r>
    <n v="170"/>
    <x v="7"/>
  </r>
  <r>
    <n v="113"/>
    <x v="5"/>
  </r>
  <r>
    <n v="150"/>
    <x v="6"/>
  </r>
  <r>
    <n v="69"/>
    <x v="2"/>
  </r>
  <r>
    <n v="95"/>
    <x v="4"/>
  </r>
  <r>
    <n v="95"/>
    <x v="4"/>
  </r>
  <r>
    <n v="135"/>
    <x v="6"/>
  </r>
  <r>
    <n v="93"/>
    <x v="4"/>
  </r>
  <r>
    <n v="134"/>
    <x v="6"/>
  </r>
  <r>
    <n v="151"/>
    <x v="7"/>
  </r>
  <r>
    <n v="100"/>
    <x v="5"/>
  </r>
  <r>
    <n v="85"/>
    <x v="3"/>
  </r>
  <r>
    <n v="84"/>
    <x v="3"/>
  </r>
  <r>
    <n v="82"/>
    <x v="3"/>
  </r>
  <r>
    <n v="126"/>
    <x v="6"/>
  </r>
  <r>
    <n v="137"/>
    <x v="7"/>
  </r>
  <r>
    <n v="179"/>
    <x v="8"/>
  </r>
  <r>
    <n v="37"/>
    <x v="0"/>
  </r>
  <r>
    <n v="89"/>
    <x v="5"/>
  </r>
  <r>
    <n v="131"/>
    <x v="7"/>
  </r>
  <r>
    <n v="77"/>
    <x v="4"/>
  </r>
  <r>
    <n v="82"/>
    <x v="5"/>
  </r>
  <r>
    <n v="109"/>
    <x v="6"/>
  </r>
  <r>
    <n v="122"/>
    <x v="7"/>
  </r>
  <r>
    <n v="106"/>
    <x v="6"/>
  </r>
  <r>
    <n v="73"/>
    <x v="4"/>
  </r>
  <r>
    <n v="67"/>
    <x v="3"/>
  </r>
  <r>
    <n v="71"/>
    <x v="4"/>
  </r>
  <r>
    <n v="153"/>
    <x v="8"/>
  </r>
  <r>
    <n v="47"/>
    <x v="2"/>
  </r>
  <r>
    <n v="65"/>
    <x v="4"/>
  </r>
  <r>
    <n v="42"/>
    <x v="1"/>
  </r>
  <r>
    <n v="64"/>
    <x v="4"/>
  </r>
  <r>
    <n v="104"/>
    <x v="7"/>
  </r>
  <r>
    <n v="41"/>
    <x v="1"/>
  </r>
  <r>
    <n v="41"/>
    <x v="1"/>
  </r>
  <r>
    <n v="135"/>
    <x v="8"/>
  </r>
  <r>
    <n v="129"/>
    <x v="8"/>
  </r>
  <r>
    <n v="85"/>
    <x v="6"/>
  </r>
  <r>
    <n v="116"/>
    <x v="8"/>
  </r>
  <r>
    <n v="112"/>
    <x v="8"/>
  </r>
  <r>
    <n v="80"/>
    <x v="7"/>
  </r>
  <r>
    <n v="48"/>
    <x v="4"/>
  </r>
  <r>
    <n v="50"/>
    <x v="5"/>
  </r>
  <r>
    <n v="43"/>
    <x v="4"/>
  </r>
  <r>
    <n v="18"/>
    <x v="0"/>
  </r>
  <r>
    <n v="65"/>
    <x v="7"/>
  </r>
  <r>
    <n v="37"/>
    <x v="3"/>
  </r>
  <r>
    <n v="41"/>
    <x v="5"/>
  </r>
  <r>
    <n v="77"/>
    <x v="8"/>
  </r>
  <r>
    <n v="57"/>
    <x v="7"/>
  </r>
  <r>
    <n v="22"/>
    <x v="1"/>
  </r>
  <r>
    <n v="30"/>
    <x v="3"/>
  </r>
  <r>
    <n v="63"/>
    <x v="8"/>
  </r>
  <r>
    <n v="22"/>
    <x v="4"/>
  </r>
  <r>
    <n v="14"/>
    <x v="1"/>
  </r>
  <r>
    <n v="13"/>
    <x v="1"/>
  </r>
  <r>
    <n v="28"/>
    <x v="7"/>
  </r>
  <r>
    <n v="16"/>
    <x v="6"/>
  </r>
  <r>
    <n v="20"/>
    <x v="8"/>
  </r>
  <r>
    <n v="12"/>
    <x v="6"/>
  </r>
  <r>
    <n v="10"/>
    <x v="6"/>
  </r>
  <r>
    <n v="14"/>
    <x v="8"/>
  </r>
  <r>
    <n v="9"/>
    <x v="6"/>
  </r>
  <r>
    <n v="5"/>
    <x v="3"/>
  </r>
  <r>
    <n v="7"/>
    <x v="6"/>
  </r>
  <r>
    <n v="10"/>
    <x v="8"/>
  </r>
  <r>
    <m/>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EEE8EA-C64B-46C4-8898-9A7F82912BC1}" name="PivotTable1"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Product" colHeaderCaption="Sales Channel">
  <location ref="K21:N33" firstHeaderRow="1" firstDataRow="2" firstDataCol="1"/>
  <pivotFields count="13">
    <pivotField compact="0" outline="0" showAll="0"/>
    <pivotField compact="0" outline="0" showAll="0"/>
    <pivotField compact="0" outline="0" showAll="0"/>
    <pivotField compact="0" outline="0" showAll="0"/>
    <pivotField axis="axisRow" compact="0" outline="0" showAll="0">
      <items count="12">
        <item x="5"/>
        <item x="4"/>
        <item x="2"/>
        <item x="10"/>
        <item x="7"/>
        <item x="6"/>
        <item x="9"/>
        <item x="1"/>
        <item x="8"/>
        <item x="3"/>
        <item x="0"/>
        <item t="default"/>
      </items>
    </pivotField>
    <pivotField axis="axisCol" compact="0" outline="0" showAll="0">
      <items count="4">
        <item x="0"/>
        <item x="1"/>
        <item x="2"/>
        <item t="default"/>
      </items>
    </pivotField>
    <pivotField compact="0" numFmtId="14" outline="0"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compact="0" numFmtId="1" outline="0" showAll="0"/>
    <pivotField compact="0" numFmtId="3" outline="0" showAll="0"/>
    <pivotField compact="0" numFmtId="8" outline="0" showAll="0"/>
    <pivotField dataField="1" compact="0" numFmtId="165"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x v="10"/>
    </i>
  </rowItems>
  <colFields count="1">
    <field x="5"/>
  </colFields>
  <colItems count="3">
    <i>
      <x/>
    </i>
    <i>
      <x v="1"/>
    </i>
    <i>
      <x v="2"/>
    </i>
  </colItems>
  <dataFields count="1">
    <dataField name="Sum of Revenue" fld="10" baseField="0" baseItem="0" numFmtId="165"/>
  </dataFields>
  <formats count="11">
    <format dxfId="111">
      <pivotArea collapsedLevelsAreSubtotals="1" fieldPosition="0">
        <references count="1">
          <reference field="4" count="0"/>
        </references>
      </pivotArea>
    </format>
    <format dxfId="110">
      <pivotArea outline="0" fieldPosition="0">
        <references count="1">
          <reference field="4" count="0" selected="0"/>
        </references>
      </pivotArea>
    </format>
    <format dxfId="109">
      <pivotArea dataOnly="0" labelOnly="1" outline="0" fieldPosition="0">
        <references count="1">
          <reference field="4" count="0"/>
        </references>
      </pivotArea>
    </format>
    <format dxfId="108">
      <pivotArea outline="0" fieldPosition="0">
        <references count="1">
          <reference field="4" count="0" selected="0"/>
        </references>
      </pivotArea>
    </format>
    <format dxfId="107">
      <pivotArea dataOnly="0" labelOnly="1" outline="0" fieldPosition="0">
        <references count="1">
          <reference field="4" count="0"/>
        </references>
      </pivotArea>
    </format>
    <format dxfId="106">
      <pivotArea type="origin" dataOnly="0" labelOnly="1" outline="0" fieldPosition="0"/>
    </format>
    <format dxfId="105">
      <pivotArea field="5" type="button" dataOnly="0" labelOnly="1" outline="0" axis="axisCol" fieldPosition="0"/>
    </format>
    <format dxfId="104">
      <pivotArea type="topRight" dataOnly="0" labelOnly="1" outline="0" fieldPosition="0"/>
    </format>
    <format dxfId="103">
      <pivotArea field="4" type="button" dataOnly="0" labelOnly="1" outline="0" axis="axisRow" fieldPosition="0"/>
    </format>
    <format dxfId="102">
      <pivotArea dataOnly="0" labelOnly="1" outline="0" fieldPosition="0">
        <references count="1">
          <reference field="5" count="0"/>
        </references>
      </pivotArea>
    </format>
    <format dxfId="10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8CB21-6473-4D3C-9BA8-01F84620A9E4}" name="PivotTable4"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Country">
  <location ref="A33:C39" firstHeaderRow="0" firstDataRow="1" firstDataCol="1"/>
  <pivotFields count="13">
    <pivotField showAll="0"/>
    <pivotField showAll="0"/>
    <pivotField axis="axisRow" showAll="0" measureFilter="1" sortType="descending">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autoSortScope>
        <pivotArea dataOnly="0" outline="0" fieldPosition="0">
          <references count="1">
            <reference field="4294967294" count="1" selected="0">
              <x v="0"/>
            </reference>
          </references>
        </pivotArea>
      </autoSortScope>
    </pivotField>
    <pivotField showAll="0"/>
    <pivotField showAll="0" measureFilter="1" sortType="descending">
      <items count="12">
        <item x="5"/>
        <item x="4"/>
        <item x="2"/>
        <item x="10"/>
        <item x="7"/>
        <item x="6"/>
        <item x="9"/>
        <item x="1"/>
        <item x="8"/>
        <item x="3"/>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pivotField dataField="1" numFmtId="3" showAll="0"/>
    <pivotField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23"/>
    </i>
    <i>
      <x v="41"/>
    </i>
    <i>
      <x v="9"/>
    </i>
    <i>
      <x v="7"/>
    </i>
    <i>
      <x v="14"/>
    </i>
    <i t="grand">
      <x/>
    </i>
  </rowItems>
  <colFields count="1">
    <field x="-2"/>
  </colFields>
  <colItems count="2">
    <i>
      <x/>
    </i>
    <i i="1">
      <x v="1"/>
    </i>
  </colItems>
  <dataFields count="2">
    <dataField name="Total Revenue" fld="10" baseField="5" baseItem="0" numFmtId="165"/>
    <dataField name="Total Quantity" fld="8" baseField="2" baseItem="0" numFmtId="1"/>
  </dataFields>
  <formats count="7">
    <format dxfId="53">
      <pivotArea outline="0" collapsedLevelsAreSubtotals="1" fieldPosition="0"/>
    </format>
    <format dxfId="52">
      <pivotArea dataOnly="0" labelOnly="1" outline="0" fieldPosition="0">
        <references count="1">
          <reference field="4294967294" count="1">
            <x v="0"/>
          </reference>
        </references>
      </pivotArea>
    </format>
    <format dxfId="51">
      <pivotArea outline="0" collapsedLevelsAreSubtotals="1" fieldPosition="0"/>
    </format>
    <format dxfId="50">
      <pivotArea outline="0" fieldPosition="0">
        <references count="1">
          <reference field="4294967294" count="1">
            <x v="0"/>
          </reference>
        </references>
      </pivotArea>
    </format>
    <format dxfId="49">
      <pivotArea dataOnly="0" labelOnly="1" outline="0" fieldPosition="0">
        <references count="1">
          <reference field="4294967294" count="1">
            <x v="1"/>
          </reference>
        </references>
      </pivotArea>
    </format>
    <format dxfId="48">
      <pivotArea collapsedLevelsAreSubtotals="1" fieldPosition="0">
        <references count="2">
          <reference field="4294967294" count="1" selected="0">
            <x v="1"/>
          </reference>
          <reference field="2" count="1">
            <x v="1"/>
          </reference>
        </references>
      </pivotArea>
    </format>
    <format dxfId="47">
      <pivotArea outline="0" collapsedLevelsAreSubtotals="1" fieldPosition="0">
        <references count="1">
          <reference field="4294967294" count="1" selected="0">
            <x v="1"/>
          </reference>
        </references>
      </pivotArea>
    </format>
  </formats>
  <chartFormats count="6">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1"/>
          </reference>
        </references>
      </pivotArea>
    </chartFormat>
    <chartFormat chart="3" format="19" series="1">
      <pivotArea type="data" outline="0" fieldPosition="0">
        <references count="1">
          <reference field="4294967294" count="1" selected="0">
            <x v="0"/>
          </reference>
        </references>
      </pivotArea>
    </chartFormat>
    <chartFormat chart="3" format="20" series="1">
      <pivotArea type="data" outline="0" fieldPosition="0">
        <references count="1">
          <reference field="4294967294" count="1" selected="0">
            <x v="1"/>
          </reference>
        </references>
      </pivotArea>
    </chartFormat>
    <chartFormat chart="6" format="23"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1"/>
          </reference>
        </references>
      </pivotArea>
    </chartFormat>
  </chartFormats>
  <pivotTableStyleInfo name="PivotStyleMedium6" showRowHeaders="1" showColHeaders="1" showRowStripes="0" showColStripes="0" showLastColumn="1"/>
  <filters count="2">
    <filter fld="2" type="count" evalOrder="-1" id="3" iMeasureFld="0">
      <autoFilter ref="A1">
        <filterColumn colId="0">
          <top10 val="5" filterVal="5"/>
        </filterColumn>
      </autoFilter>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65619E-7DFC-420B-8297-E615944C6191}" name="PivotTable5"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ountry">
  <location ref="A43:C49" firstHeaderRow="0" firstDataRow="1" firstDataCol="1"/>
  <pivotFields count="13">
    <pivotField showAll="0"/>
    <pivotField showAll="0"/>
    <pivotField axis="axisRow" showAll="0" measureFilter="1" sortType="descending">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autoSortScope>
        <pivotArea dataOnly="0" outline="0" fieldPosition="0">
          <references count="1">
            <reference field="4294967294" count="1" selected="0">
              <x v="0"/>
            </reference>
          </references>
        </pivotArea>
      </autoSortScope>
    </pivotField>
    <pivotField showAll="0"/>
    <pivotField showAll="0" measureFilter="1" sortType="descending">
      <items count="12">
        <item x="5"/>
        <item x="4"/>
        <item x="2"/>
        <item x="10"/>
        <item x="7"/>
        <item x="6"/>
        <item x="9"/>
        <item x="1"/>
        <item x="8"/>
        <item x="3"/>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pivotField dataField="1" numFmtId="3" showAll="0"/>
    <pivotField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69"/>
    </i>
    <i>
      <x v="45"/>
    </i>
    <i>
      <x v="83"/>
    </i>
    <i>
      <x v="65"/>
    </i>
    <i>
      <x v="49"/>
    </i>
    <i t="grand">
      <x/>
    </i>
  </rowItems>
  <colFields count="1">
    <field x="-2"/>
  </colFields>
  <colItems count="2">
    <i>
      <x/>
    </i>
    <i i="1">
      <x v="1"/>
    </i>
  </colItems>
  <dataFields count="2">
    <dataField name="Total Revenue" fld="10" baseField="5" baseItem="0" numFmtId="165"/>
    <dataField name="Total Quantity" fld="8" baseField="2" baseItem="0" numFmtId="1"/>
  </dataFields>
  <formats count="7">
    <format dxfId="60">
      <pivotArea outline="0" collapsedLevelsAreSubtotals="1" fieldPosition="0"/>
    </format>
    <format dxfId="59">
      <pivotArea dataOnly="0" labelOnly="1" outline="0" fieldPosition="0">
        <references count="1">
          <reference field="4294967294" count="1">
            <x v="0"/>
          </reference>
        </references>
      </pivotArea>
    </format>
    <format dxfId="58">
      <pivotArea outline="0" collapsedLevelsAreSubtotals="1" fieldPosition="0"/>
    </format>
    <format dxfId="57">
      <pivotArea outline="0" fieldPosition="0">
        <references count="1">
          <reference field="4294967294" count="1">
            <x v="0"/>
          </reference>
        </references>
      </pivotArea>
    </format>
    <format dxfId="56">
      <pivotArea dataOnly="0" labelOnly="1" outline="0" fieldPosition="0">
        <references count="1">
          <reference field="4294967294" count="1">
            <x v="1"/>
          </reference>
        </references>
      </pivotArea>
    </format>
    <format dxfId="55">
      <pivotArea collapsedLevelsAreSubtotals="1" fieldPosition="0">
        <references count="2">
          <reference field="4294967294" count="1" selected="0">
            <x v="1"/>
          </reference>
          <reference field="2" count="1">
            <x v="1"/>
          </reference>
        </references>
      </pivotArea>
    </format>
    <format dxfId="54">
      <pivotArea outline="0" collapsedLevelsAreSubtotals="1" fieldPosition="0">
        <references count="1">
          <reference field="4294967294" count="1" selected="0">
            <x v="1"/>
          </reference>
        </references>
      </pivotArea>
    </format>
  </formats>
  <chartFormats count="4">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1"/>
          </reference>
        </references>
      </pivotArea>
    </chartFormat>
    <chartFormat chart="3" format="19" series="1">
      <pivotArea type="data" outline="0" fieldPosition="0">
        <references count="1">
          <reference field="4294967294" count="1" selected="0">
            <x v="0"/>
          </reference>
        </references>
      </pivotArea>
    </chartFormat>
    <chartFormat chart="3" format="20" series="1">
      <pivotArea type="data" outline="0" fieldPosition="0">
        <references count="1">
          <reference field="4294967294" count="1" selected="0">
            <x v="1"/>
          </reference>
        </references>
      </pivotArea>
    </chartFormat>
  </chartFormats>
  <pivotTableStyleInfo name="PivotStyleMedium6" showRowHeaders="1" showColHeaders="1" showRowStripes="0" showColStripes="0" showLastColumn="1"/>
  <filters count="2">
    <filter fld="2" type="count" evalOrder="-1" id="4" iMeasureFld="0">
      <autoFilter ref="A1">
        <filterColumn colId="0">
          <top10 top="0" val="5" filterVal="5"/>
        </filterColumn>
      </autoFilter>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D4CED9-65F6-423D-A54F-C012DA8028ED}" name="PivotTable2"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Sales Channel">
  <location ref="A10:B14" firstHeaderRow="1" firstDataRow="1" firstDataCol="1"/>
  <pivotFields count="13">
    <pivotField showAll="0"/>
    <pivotField showAll="0"/>
    <pivotField showAll="0">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pivotField>
    <pivotField showAll="0"/>
    <pivotField showAll="0">
      <items count="12">
        <item x="5"/>
        <item x="4"/>
        <item x="2"/>
        <item x="10"/>
        <item x="7"/>
        <item x="6"/>
        <item x="9"/>
        <item x="1"/>
        <item x="8"/>
        <item x="3"/>
        <item x="0"/>
        <item t="default"/>
      </items>
    </pivotField>
    <pivotField axis="axisRow" showAll="0">
      <items count="4">
        <item x="1"/>
        <item x="0"/>
        <item x="2"/>
        <item t="default"/>
      </items>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pivotField numFmtId="3" showAll="0"/>
    <pivotField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Total Revenue" fld="10" showDataAs="percentOfTotal" baseField="5" baseItem="0" numFmtId="9"/>
  </dataFields>
  <formats count="4">
    <format dxfId="64">
      <pivotArea outline="0" collapsedLevelsAreSubtotals="1" fieldPosition="0"/>
    </format>
    <format dxfId="63">
      <pivotArea dataOnly="0" labelOnly="1" outline="0" fieldPosition="0">
        <references count="1">
          <reference field="4294967294" count="1">
            <x v="0"/>
          </reference>
        </references>
      </pivotArea>
    </format>
    <format dxfId="62">
      <pivotArea outline="0" fieldPosition="0">
        <references count="1">
          <reference field="4294967294" count="1">
            <x v="0"/>
          </reference>
        </references>
      </pivotArea>
    </format>
    <format dxfId="61">
      <pivotArea outline="0" collapsedLevelsAreSubtotals="1" fieldPosition="0"/>
    </format>
  </formats>
  <chartFormats count="4">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5" count="1" selected="0">
            <x v="0"/>
          </reference>
        </references>
      </pivotArea>
    </chartFormat>
    <chartFormat chart="3" format="32">
      <pivotArea type="data" outline="0" fieldPosition="0">
        <references count="2">
          <reference field="4294967294" count="1" selected="0">
            <x v="0"/>
          </reference>
          <reference field="5" count="1" selected="0">
            <x v="1"/>
          </reference>
        </references>
      </pivotArea>
    </chartFormat>
    <chartFormat chart="3" format="33">
      <pivotArea type="data" outline="0" fieldPosition="0">
        <references count="2">
          <reference field="4294967294" count="1" selected="0">
            <x v="0"/>
          </reference>
          <reference field="5" count="1" selected="0">
            <x v="2"/>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776D7F-4252-4586-BFF8-9E478F2A9584}" name="PivotTable3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1:Q12" firstHeaderRow="1" firstDataRow="1" firstDataCol="1"/>
  <pivotFields count="2">
    <pivotField dataField="1" showAll="0"/>
    <pivotField axis="axisRow" showAll="0">
      <items count="11">
        <item x="8"/>
        <item x="7"/>
        <item x="6"/>
        <item x="5"/>
        <item x="4"/>
        <item x="3"/>
        <item x="2"/>
        <item x="1"/>
        <item x="0"/>
        <item x="9"/>
        <item t="default"/>
      </items>
    </pivotField>
  </pivotFields>
  <rowFields count="1">
    <field x="1"/>
  </rowFields>
  <rowItems count="11">
    <i>
      <x/>
    </i>
    <i>
      <x v="1"/>
    </i>
    <i>
      <x v="2"/>
    </i>
    <i>
      <x v="3"/>
    </i>
    <i>
      <x v="4"/>
    </i>
    <i>
      <x v="5"/>
    </i>
    <i>
      <x v="6"/>
    </i>
    <i>
      <x v="7"/>
    </i>
    <i>
      <x v="8"/>
    </i>
    <i>
      <x v="9"/>
    </i>
    <i t="grand">
      <x/>
    </i>
  </rowItems>
  <colItems count="1">
    <i/>
  </colItems>
  <dataFields count="1">
    <dataField name="Sum of Quantity"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7B7380-D0D4-4CDE-A34C-1D307AAF634A}" name="PivotTable3"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location ref="A18:B24" firstHeaderRow="1" firstDataRow="1" firstDataCol="1"/>
  <pivotFields count="13">
    <pivotField showAll="0"/>
    <pivotField showAll="0"/>
    <pivotField showAll="0">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pivotField>
    <pivotField showAll="0"/>
    <pivotField axis="axisRow" showAll="0" measureFilter="1" sortType="descending">
      <items count="12">
        <item x="5"/>
        <item x="4"/>
        <item x="2"/>
        <item x="10"/>
        <item x="7"/>
        <item x="6"/>
        <item x="9"/>
        <item x="1"/>
        <item x="8"/>
        <item x="3"/>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pivotField numFmtId="3" showAll="0"/>
    <pivotField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0"/>
    </i>
    <i>
      <x v="2"/>
    </i>
    <i>
      <x v="7"/>
    </i>
    <i>
      <x v="9"/>
    </i>
    <i>
      <x v="5"/>
    </i>
    <i t="grand">
      <x/>
    </i>
  </rowItems>
  <colItems count="1">
    <i/>
  </colItems>
  <dataFields count="1">
    <dataField name="Total Revenue" fld="10" baseField="5" baseItem="0" numFmtId="165"/>
  </dataFields>
  <formats count="4">
    <format dxfId="68">
      <pivotArea outline="0" collapsedLevelsAreSubtotals="1" fieldPosition="0"/>
    </format>
    <format dxfId="67">
      <pivotArea dataOnly="0" labelOnly="1" outline="0" fieldPosition="0">
        <references count="1">
          <reference field="4294967294" count="1">
            <x v="0"/>
          </reference>
        </references>
      </pivotArea>
    </format>
    <format dxfId="66">
      <pivotArea outline="0" collapsedLevelsAreSubtotals="1" fieldPosition="0"/>
    </format>
    <format dxfId="65">
      <pivotArea outline="0" fieldPosition="0">
        <references count="1">
          <reference field="4294967294" count="1">
            <x v="0"/>
          </reference>
        </references>
      </pivotArea>
    </format>
  </formats>
  <pivotTableStyleInfo name="PivotStyleMedium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A17F1A-7C40-44D4-968A-BDBB8AA8ECF0}" name="PivotTable7"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Product">
  <location ref="F18:G30" firstHeaderRow="1" firstDataRow="1" firstDataCol="1"/>
  <pivotFields count="13">
    <pivotField showAll="0"/>
    <pivotField showAll="0"/>
    <pivotField showAll="0">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pivotField>
    <pivotField showAll="0"/>
    <pivotField axis="axisRow" showAll="0" sortType="descending">
      <items count="12">
        <item x="5"/>
        <item x="4"/>
        <item x="2"/>
        <item x="10"/>
        <item x="7"/>
        <item x="6"/>
        <item x="9"/>
        <item x="1"/>
        <item x="8"/>
        <item x="3"/>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pivotField numFmtId="3" showAll="0"/>
    <pivotField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2">
    <i>
      <x v="10"/>
    </i>
    <i>
      <x v="2"/>
    </i>
    <i>
      <x v="7"/>
    </i>
    <i>
      <x v="9"/>
    </i>
    <i>
      <x v="5"/>
    </i>
    <i>
      <x v="4"/>
    </i>
    <i>
      <x v="1"/>
    </i>
    <i>
      <x/>
    </i>
    <i>
      <x v="8"/>
    </i>
    <i>
      <x v="3"/>
    </i>
    <i>
      <x v="6"/>
    </i>
    <i t="grand">
      <x/>
    </i>
  </rowItems>
  <colItems count="1">
    <i/>
  </colItems>
  <dataFields count="1">
    <dataField name="Total Revenue" fld="10" showDataAs="percentOfCol" baseField="5" baseItem="0" numFmtId="9"/>
  </dataFields>
  <formats count="4">
    <format dxfId="72">
      <pivotArea outline="0" collapsedLevelsAreSubtotals="1" fieldPosition="0"/>
    </format>
    <format dxfId="71">
      <pivotArea dataOnly="0" labelOnly="1" outline="0" fieldPosition="0">
        <references count="1">
          <reference field="4294967294" count="1">
            <x v="0"/>
          </reference>
        </references>
      </pivotArea>
    </format>
    <format dxfId="70">
      <pivotArea outline="0" fieldPosition="0">
        <references count="1">
          <reference field="4294967294" count="1">
            <x v="0"/>
          </reference>
        </references>
      </pivotArea>
    </format>
    <format dxfId="69">
      <pivotArea outline="0" collapsedLevelsAreSubtotals="1" fieldPosition="0"/>
    </format>
  </formats>
  <chartFormats count="1">
    <chartFormat chart="9" format="5"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75DA4D-52D1-494A-B52C-9E4C754D0459}" name="PivotTable10"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Name">
  <location ref="J2:L10" firstHeaderRow="0" firstDataRow="1" firstDataCol="1"/>
  <pivotFields count="13">
    <pivotField showAll="0"/>
    <pivotField showAll="0"/>
    <pivotField showAll="0">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pivotField>
    <pivotField showAll="0"/>
    <pivotField showAll="0">
      <items count="12">
        <item x="5"/>
        <item x="4"/>
        <item x="2"/>
        <item x="10"/>
        <item x="7"/>
        <item x="6"/>
        <item x="9"/>
        <item x="1"/>
        <item x="8"/>
        <item x="3"/>
        <item x="0"/>
        <item t="default"/>
      </items>
    </pivotField>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items count="8">
        <item x="2"/>
        <item x="3"/>
        <item x="6"/>
        <item x="1"/>
        <item x="4"/>
        <item x="0"/>
        <item x="5"/>
        <item t="default"/>
      </items>
    </pivotField>
    <pivotField dataField="1" numFmtId="3" showAll="0"/>
    <pivotField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2"/>
  </rowFields>
  <rowItems count="8">
    <i>
      <x v="1"/>
    </i>
    <i>
      <x v="2"/>
    </i>
    <i>
      <x v="4"/>
    </i>
    <i>
      <x v="6"/>
    </i>
    <i>
      <x v="7"/>
    </i>
    <i>
      <x v="8"/>
    </i>
    <i>
      <x v="12"/>
    </i>
    <i t="grand">
      <x/>
    </i>
  </rowItems>
  <colFields count="1">
    <field x="-2"/>
  </colFields>
  <colItems count="2">
    <i>
      <x/>
    </i>
    <i i="1">
      <x v="1"/>
    </i>
  </colItems>
  <dataFields count="2">
    <dataField name="Total Revenue" fld="10" baseField="5" baseItem="0" numFmtId="165"/>
    <dataField name="Total Quantity" fld="8" baseField="0" baseItem="0" numFmtId="1"/>
  </dataFields>
  <formats count="6">
    <format dxfId="78">
      <pivotArea outline="0" collapsedLevelsAreSubtotals="1" fieldPosition="0"/>
    </format>
    <format dxfId="77">
      <pivotArea dataOnly="0" labelOnly="1" outline="0" fieldPosition="0">
        <references count="1">
          <reference field="4294967294" count="1">
            <x v="0"/>
          </reference>
        </references>
      </pivotArea>
    </format>
    <format dxfId="76">
      <pivotArea outline="0" collapsedLevelsAreSubtotals="1" fieldPosition="0"/>
    </format>
    <format dxfId="75">
      <pivotArea outline="0" fieldPosition="0">
        <references count="1">
          <reference field="4294967294" count="1">
            <x v="0"/>
          </reference>
        </references>
      </pivotArea>
    </format>
    <format dxfId="74">
      <pivotArea dataOnly="0" labelOnly="1" outline="0" fieldPosition="0">
        <references count="1">
          <reference field="4294967294" count="1">
            <x v="1"/>
          </reference>
        </references>
      </pivotArea>
    </format>
    <format dxfId="73">
      <pivotArea outline="0" collapsedLevelsAreSubtotals="1" fieldPosition="0">
        <references count="1">
          <reference field="4294967294" count="1" selected="0">
            <x v="1"/>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F21260-B3A8-492F-A24B-50E8DA6C1D14}" name="PivotTable8"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Sales Channel">
  <location ref="F2:H6" firstHeaderRow="0" firstDataRow="1" firstDataCol="1"/>
  <pivotFields count="13">
    <pivotField showAll="0"/>
    <pivotField showAll="0"/>
    <pivotField showAll="0">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pivotField>
    <pivotField showAll="0"/>
    <pivotField showAll="0">
      <items count="12">
        <item x="5"/>
        <item x="4"/>
        <item x="2"/>
        <item x="10"/>
        <item x="7"/>
        <item x="6"/>
        <item x="9"/>
        <item x="1"/>
        <item x="8"/>
        <item x="3"/>
        <item x="0"/>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pivotField dataField="1" numFmtId="3" showAll="0"/>
    <pivotField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1"/>
    </i>
    <i>
      <x v="2"/>
    </i>
    <i>
      <x/>
    </i>
    <i t="grand">
      <x/>
    </i>
  </rowItems>
  <colFields count="1">
    <field x="-2"/>
  </colFields>
  <colItems count="2">
    <i>
      <x/>
    </i>
    <i i="1">
      <x v="1"/>
    </i>
  </colItems>
  <dataFields count="2">
    <dataField name="Total Revenue" fld="10" baseField="5" baseItem="0" numFmtId="165"/>
    <dataField name="T-Quantity" fld="8" baseField="5" baseItem="2" numFmtId="166"/>
  </dataFields>
  <formats count="5">
    <format dxfId="83">
      <pivotArea outline="0" collapsedLevelsAreSubtotals="1" fieldPosition="0"/>
    </format>
    <format dxfId="82">
      <pivotArea dataOnly="0" labelOnly="1" outline="0" fieldPosition="0">
        <references count="1">
          <reference field="4294967294" count="1">
            <x v="0"/>
          </reference>
        </references>
      </pivotArea>
    </format>
    <format dxfId="81">
      <pivotArea outline="0" collapsedLevelsAreSubtotals="1" fieldPosition="0"/>
    </format>
    <format dxfId="80">
      <pivotArea outline="0" fieldPosition="0">
        <references count="1">
          <reference field="4294967294" count="1">
            <x v="0"/>
          </reference>
        </references>
      </pivotArea>
    </format>
    <format dxfId="79">
      <pivotArea outline="0" collapsedLevelsAreSubtotals="1" fieldPosition="0">
        <references count="1">
          <reference field="4294967294" count="1" selected="0">
            <x v="1"/>
          </reference>
        </references>
      </pivotArea>
    </format>
  </formats>
  <chartFormats count="12">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5" count="1" selected="0">
            <x v="2"/>
          </reference>
        </references>
      </pivotArea>
    </chartFormat>
    <chartFormat chart="5" format="17">
      <pivotArea type="data" outline="0" fieldPosition="0">
        <references count="2">
          <reference field="4294967294" count="1" selected="0">
            <x v="0"/>
          </reference>
          <reference field="5" count="1" selected="0">
            <x v="0"/>
          </reference>
        </references>
      </pivotArea>
    </chartFormat>
    <chartFormat chart="5" format="18" series="1">
      <pivotArea type="data" outline="0" fieldPosition="0">
        <references count="1">
          <reference field="4294967294" count="1" selected="0">
            <x v="1"/>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0"/>
          </reference>
        </references>
      </pivotArea>
    </chartFormat>
    <chartFormat chart="6" format="22" series="1">
      <pivotArea type="data" outline="0" fieldPosition="0">
        <references count="1">
          <reference field="4294967294" count="1" selected="0">
            <x v="1"/>
          </reference>
        </references>
      </pivotArea>
    </chartFormat>
    <chartFormat chart="7" format="23" series="1">
      <pivotArea type="data" outline="0" fieldPosition="0">
        <references count="1">
          <reference field="4294967294" count="1" selected="0">
            <x v="0"/>
          </reference>
        </references>
      </pivotArea>
    </chartFormat>
    <chartFormat chart="7" format="24">
      <pivotArea type="data" outline="0" fieldPosition="0">
        <references count="2">
          <reference field="4294967294" count="1" selected="0">
            <x v="0"/>
          </reference>
          <reference field="5" count="1" selected="0">
            <x v="2"/>
          </reference>
        </references>
      </pivotArea>
    </chartFormat>
    <chartFormat chart="7" format="25">
      <pivotArea type="data" outline="0" fieldPosition="0">
        <references count="2">
          <reference field="4294967294" count="1" selected="0">
            <x v="0"/>
          </reference>
          <reference field="5" count="1" selected="0">
            <x v="0"/>
          </reference>
        </references>
      </pivotArea>
    </chartFormat>
    <chartFormat chart="7" format="26" series="1">
      <pivotArea type="data" outline="0" fieldPosition="0">
        <references count="1">
          <reference field="4294967294"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A4EE93-79FA-43B0-B4C0-D3819251A462}" name="PivotTable1"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D2" firstHeaderRow="0" firstDataRow="1" firstDataCol="0"/>
  <pivotFields count="13">
    <pivotField dataField="1" showAll="0"/>
    <pivotField showAll="0">
      <items count="108">
        <item x="48"/>
        <item x="33"/>
        <item x="50"/>
        <item x="106"/>
        <item x="62"/>
        <item x="67"/>
        <item x="1"/>
        <item x="96"/>
        <item x="99"/>
        <item x="68"/>
        <item x="31"/>
        <item x="87"/>
        <item x="88"/>
        <item x="53"/>
        <item x="20"/>
        <item x="104"/>
        <item x="5"/>
        <item x="34"/>
        <item x="40"/>
        <item x="93"/>
        <item x="46"/>
        <item x="76"/>
        <item x="81"/>
        <item x="83"/>
        <item x="80"/>
        <item x="4"/>
        <item x="59"/>
        <item x="86"/>
        <item x="0"/>
        <item x="17"/>
        <item x="90"/>
        <item x="84"/>
        <item x="42"/>
        <item x="21"/>
        <item x="23"/>
        <item x="85"/>
        <item x="35"/>
        <item x="73"/>
        <item x="2"/>
        <item x="52"/>
        <item x="38"/>
        <item x="70"/>
        <item x="11"/>
        <item x="58"/>
        <item x="47"/>
        <item x="51"/>
        <item x="57"/>
        <item x="18"/>
        <item x="91"/>
        <item x="39"/>
        <item x="24"/>
        <item x="60"/>
        <item x="45"/>
        <item x="92"/>
        <item x="79"/>
        <item x="10"/>
        <item x="9"/>
        <item x="56"/>
        <item x="75"/>
        <item x="71"/>
        <item x="32"/>
        <item x="54"/>
        <item x="30"/>
        <item x="15"/>
        <item x="74"/>
        <item x="78"/>
        <item x="37"/>
        <item x="6"/>
        <item x="61"/>
        <item x="103"/>
        <item x="8"/>
        <item x="25"/>
        <item x="44"/>
        <item x="27"/>
        <item x="36"/>
        <item x="28"/>
        <item x="69"/>
        <item x="19"/>
        <item x="26"/>
        <item x="7"/>
        <item x="89"/>
        <item x="49"/>
        <item x="41"/>
        <item x="63"/>
        <item x="105"/>
        <item x="94"/>
        <item x="14"/>
        <item x="43"/>
        <item x="12"/>
        <item x="101"/>
        <item x="55"/>
        <item x="100"/>
        <item x="16"/>
        <item x="64"/>
        <item x="82"/>
        <item x="102"/>
        <item x="13"/>
        <item x="97"/>
        <item x="95"/>
        <item x="22"/>
        <item x="77"/>
        <item x="98"/>
        <item x="66"/>
        <item x="72"/>
        <item x="65"/>
        <item x="29"/>
        <item x="3"/>
        <item t="default"/>
      </items>
    </pivotField>
    <pivotField showAll="0">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pivotField>
    <pivotField showAll="0"/>
    <pivotField showAll="0">
      <items count="12">
        <item x="5"/>
        <item x="4"/>
        <item x="2"/>
        <item x="10"/>
        <item x="7"/>
        <item x="6"/>
        <item x="9"/>
        <item x="1"/>
        <item x="8"/>
        <item x="3"/>
        <item x="0"/>
        <item t="default"/>
      </items>
    </pivotField>
    <pivotField showAll="0">
      <items count="4">
        <item x="1"/>
        <item x="0"/>
        <item x="2"/>
        <item t="default"/>
      </items>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pivotField dataField="1" numFmtId="3" showAll="0"/>
    <pivotField dataField="1"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Total Revenue" fld="10" baseField="0" baseItem="0" numFmtId="165"/>
    <dataField name="Avg Price" fld="9" subtotal="average" baseField="0" baseItem="2" numFmtId="8"/>
    <dataField name="Total Quantity Sold" fld="8" baseField="0" baseItem="0" numFmtId="3"/>
    <dataField name="#Distributers" fld="0" subtotal="count" baseField="0" baseItem="1"/>
  </dataFields>
  <formats count="2">
    <format dxfId="85">
      <pivotArea outline="0" collapsedLevelsAreSubtotals="1" fieldPosition="0"/>
    </format>
    <format dxfId="84">
      <pivotArea dataOnly="0" labelOnly="1" outline="0" fieldPosition="0">
        <references count="1">
          <reference field="4294967294" count="4">
            <x v="0"/>
            <x v="1"/>
            <x v="2"/>
            <x v="3"/>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DC5D98-DC7F-4DF6-B4FD-82047BC083D0}" name="PivotTable11"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istributors">
  <location ref="J15:K26" firstHeaderRow="1" firstDataRow="1" firstDataCol="1"/>
  <pivotFields count="13">
    <pivotField showAll="0"/>
    <pivotField axis="axisRow" showAll="0" measureFilter="1">
      <items count="108">
        <item x="48"/>
        <item x="33"/>
        <item x="50"/>
        <item x="106"/>
        <item x="62"/>
        <item x="67"/>
        <item x="1"/>
        <item x="96"/>
        <item x="99"/>
        <item x="68"/>
        <item x="31"/>
        <item x="87"/>
        <item x="88"/>
        <item x="53"/>
        <item x="20"/>
        <item x="104"/>
        <item x="5"/>
        <item x="34"/>
        <item x="40"/>
        <item x="93"/>
        <item x="46"/>
        <item x="76"/>
        <item x="81"/>
        <item x="83"/>
        <item x="80"/>
        <item x="4"/>
        <item x="59"/>
        <item x="86"/>
        <item x="0"/>
        <item x="17"/>
        <item x="90"/>
        <item x="84"/>
        <item x="42"/>
        <item x="21"/>
        <item x="23"/>
        <item x="85"/>
        <item x="35"/>
        <item x="73"/>
        <item x="52"/>
        <item x="38"/>
        <item x="70"/>
        <item x="11"/>
        <item x="58"/>
        <item x="47"/>
        <item x="51"/>
        <item x="57"/>
        <item x="18"/>
        <item x="91"/>
        <item x="39"/>
        <item x="24"/>
        <item x="60"/>
        <item x="45"/>
        <item x="92"/>
        <item x="79"/>
        <item x="10"/>
        <item x="9"/>
        <item x="56"/>
        <item x="75"/>
        <item x="71"/>
        <item x="32"/>
        <item x="54"/>
        <item x="30"/>
        <item x="15"/>
        <item x="74"/>
        <item x="78"/>
        <item x="37"/>
        <item x="6"/>
        <item x="61"/>
        <item x="103"/>
        <item x="8"/>
        <item x="25"/>
        <item x="44"/>
        <item x="27"/>
        <item x="36"/>
        <item x="28"/>
        <item x="69"/>
        <item x="19"/>
        <item x="26"/>
        <item x="7"/>
        <item x="89"/>
        <item x="49"/>
        <item x="41"/>
        <item x="63"/>
        <item x="105"/>
        <item x="94"/>
        <item x="14"/>
        <item x="43"/>
        <item x="12"/>
        <item x="101"/>
        <item x="55"/>
        <item x="100"/>
        <item x="16"/>
        <item x="64"/>
        <item x="82"/>
        <item x="102"/>
        <item x="13"/>
        <item x="97"/>
        <item x="95"/>
        <item x="22"/>
        <item x="77"/>
        <item x="98"/>
        <item x="66"/>
        <item x="72"/>
        <item x="65"/>
        <item x="29"/>
        <item x="2"/>
        <item x="3"/>
        <item t="default"/>
      </items>
    </pivotField>
    <pivotField showAll="0">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pivotField>
    <pivotField showAll="0"/>
    <pivotField showAll="0">
      <items count="12">
        <item x="5"/>
        <item x="4"/>
        <item x="2"/>
        <item x="10"/>
        <item x="7"/>
        <item x="6"/>
        <item x="9"/>
        <item x="1"/>
        <item x="8"/>
        <item x="3"/>
        <item x="0"/>
        <item t="default"/>
      </items>
    </pivotField>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items count="8">
        <item x="2"/>
        <item x="3"/>
        <item x="6"/>
        <item x="1"/>
        <item x="4"/>
        <item x="0"/>
        <item x="5"/>
        <item t="default"/>
      </items>
    </pivotField>
    <pivotField numFmtId="3" showAll="0"/>
    <pivotField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6"/>
    </i>
    <i>
      <x v="16"/>
    </i>
    <i>
      <x v="25"/>
    </i>
    <i>
      <x v="28"/>
    </i>
    <i>
      <x v="55"/>
    </i>
    <i>
      <x v="66"/>
    </i>
    <i>
      <x v="69"/>
    </i>
    <i>
      <x v="78"/>
    </i>
    <i>
      <x v="105"/>
    </i>
    <i>
      <x v="106"/>
    </i>
    <i t="grand">
      <x/>
    </i>
  </rowItems>
  <colItems count="1">
    <i/>
  </colItems>
  <dataFields count="1">
    <dataField name="Total Revenue" fld="10" baseField="5" baseItem="0" numFmtId="165"/>
  </dataFields>
  <formats count="4">
    <format dxfId="89">
      <pivotArea outline="0" collapsedLevelsAreSubtotals="1" fieldPosition="0"/>
    </format>
    <format dxfId="88">
      <pivotArea dataOnly="0" labelOnly="1" outline="0" fieldPosition="0">
        <references count="1">
          <reference field="4294967294" count="1">
            <x v="0"/>
          </reference>
        </references>
      </pivotArea>
    </format>
    <format dxfId="87">
      <pivotArea outline="0" collapsedLevelsAreSubtotals="1" fieldPosition="0"/>
    </format>
    <format dxfId="86">
      <pivotArea outline="0" fieldPosition="0">
        <references count="1">
          <reference field="4294967294" count="1">
            <x v="0"/>
          </reference>
        </references>
      </pivotArea>
    </format>
  </formats>
  <pivotTableStyleInfo name="PivotStyleMedium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53B967-693B-4988-99AB-ED2350FF6A0E}" name="PivotTable9"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Sales Channel">
  <location ref="F10:G14" firstHeaderRow="1" firstDataRow="1" firstDataCol="1"/>
  <pivotFields count="13">
    <pivotField showAll="0"/>
    <pivotField showAll="0"/>
    <pivotField showAll="0">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pivotField>
    <pivotField showAll="0"/>
    <pivotField showAll="0">
      <items count="12">
        <item x="5"/>
        <item x="4"/>
        <item x="2"/>
        <item x="10"/>
        <item x="7"/>
        <item x="6"/>
        <item x="9"/>
        <item x="1"/>
        <item x="8"/>
        <item x="3"/>
        <item x="0"/>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pivotField dataField="1" numFmtId="3" showAll="0"/>
    <pivotField numFmtId="8"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1"/>
    </i>
    <i>
      <x v="2"/>
    </i>
    <i>
      <x/>
    </i>
    <i t="grand">
      <x/>
    </i>
  </rowItems>
  <colItems count="1">
    <i/>
  </colItems>
  <dataFields count="1">
    <dataField name="Total Quantity" fld="8" baseField="5" baseItem="1" numFmtId="1"/>
  </dataFields>
  <formats count="4">
    <format dxfId="93">
      <pivotArea outline="0" collapsedLevelsAreSubtotals="1" fieldPosition="0"/>
    </format>
    <format dxfId="92">
      <pivotArea outline="0" collapsedLevelsAreSubtotals="1" fieldPosition="0"/>
    </format>
    <format dxfId="91">
      <pivotArea dataOnly="0" labelOnly="1" outline="0" fieldPosition="0">
        <references count="1">
          <reference field="4294967294" count="1">
            <x v="0"/>
          </reference>
        </references>
      </pivotArea>
    </format>
    <format dxfId="90">
      <pivotArea outline="0" collapsedLevelsAreSubtotals="1" fieldPosition="0">
        <references count="1">
          <reference field="4294967294" count="1" selected="0">
            <x v="0"/>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E2538D-B401-4F0A-8BC2-870B1A9EF92F}" name="PivotTable38"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Name">
  <location ref="F36:H44" firstHeaderRow="0" firstDataRow="1" firstDataCol="1"/>
  <pivotFields count="13">
    <pivotField showAll="0"/>
    <pivotField showAll="0"/>
    <pivotField showAll="0">
      <items count="88">
        <item x="9"/>
        <item x="68"/>
        <item x="19"/>
        <item x="43"/>
        <item x="10"/>
        <item x="47"/>
        <item x="16"/>
        <item x="7"/>
        <item x="11"/>
        <item x="3"/>
        <item x="79"/>
        <item x="23"/>
        <item x="76"/>
        <item x="48"/>
        <item x="2"/>
        <item x="37"/>
        <item x="38"/>
        <item x="56"/>
        <item x="40"/>
        <item x="71"/>
        <item x="36"/>
        <item x="25"/>
        <item x="5"/>
        <item x="0"/>
        <item x="15"/>
        <item x="39"/>
        <item x="78"/>
        <item x="33"/>
        <item x="60"/>
        <item x="52"/>
        <item x="22"/>
        <item x="13"/>
        <item x="74"/>
        <item x="24"/>
        <item x="67"/>
        <item x="32"/>
        <item x="55"/>
        <item x="62"/>
        <item x="49"/>
        <item x="64"/>
        <item x="51"/>
        <item x="1"/>
        <item x="29"/>
        <item x="30"/>
        <item x="20"/>
        <item x="83"/>
        <item x="77"/>
        <item x="4"/>
        <item x="18"/>
        <item x="86"/>
        <item x="66"/>
        <item x="80"/>
        <item x="75"/>
        <item x="50"/>
        <item x="81"/>
        <item x="41"/>
        <item x="73"/>
        <item x="69"/>
        <item x="45"/>
        <item x="27"/>
        <item x="46"/>
        <item x="57"/>
        <item x="61"/>
        <item x="31"/>
        <item x="72"/>
        <item x="85"/>
        <item x="34"/>
        <item x="53"/>
        <item x="58"/>
        <item x="82"/>
        <item x="54"/>
        <item x="70"/>
        <item x="8"/>
        <item x="44"/>
        <item x="17"/>
        <item x="14"/>
        <item x="65"/>
        <item x="63"/>
        <item x="21"/>
        <item x="26"/>
        <item x="59"/>
        <item x="28"/>
        <item x="6"/>
        <item x="84"/>
        <item x="35"/>
        <item x="42"/>
        <item x="12"/>
        <item t="default"/>
      </items>
    </pivotField>
    <pivotField showAll="0"/>
    <pivotField showAll="0">
      <items count="12">
        <item x="5"/>
        <item x="4"/>
        <item x="2"/>
        <item x="10"/>
        <item x="7"/>
        <item x="6"/>
        <item x="9"/>
        <item x="1"/>
        <item x="8"/>
        <item x="3"/>
        <item x="0"/>
        <item t="default"/>
      </items>
    </pivotField>
    <pivotField showAll="0" rankBy="0">
      <items count="4">
        <item x="1"/>
        <item x="0"/>
        <item x="2"/>
        <item t="default"/>
      </items>
    </pivotField>
    <pivotField numFmtId="14" showAll="0">
      <items count="83">
        <item x="22"/>
        <item x="19"/>
        <item x="11"/>
        <item x="14"/>
        <item x="24"/>
        <item x="21"/>
        <item x="25"/>
        <item x="26"/>
        <item x="27"/>
        <item x="70"/>
        <item x="75"/>
        <item x="81"/>
        <item x="77"/>
        <item x="67"/>
        <item x="71"/>
        <item x="79"/>
        <item x="44"/>
        <item x="61"/>
        <item x="49"/>
        <item x="38"/>
        <item x="3"/>
        <item x="57"/>
        <item x="64"/>
        <item x="66"/>
        <item x="17"/>
        <item x="32"/>
        <item x="28"/>
        <item x="5"/>
        <item x="62"/>
        <item x="15"/>
        <item x="30"/>
        <item x="6"/>
        <item x="10"/>
        <item x="56"/>
        <item x="18"/>
        <item x="80"/>
        <item x="45"/>
        <item x="52"/>
        <item x="35"/>
        <item x="60"/>
        <item x="48"/>
        <item x="43"/>
        <item x="33"/>
        <item x="59"/>
        <item x="46"/>
        <item x="39"/>
        <item x="63"/>
        <item x="31"/>
        <item x="29"/>
        <item x="42"/>
        <item x="37"/>
        <item x="34"/>
        <item x="76"/>
        <item x="74"/>
        <item x="50"/>
        <item x="53"/>
        <item x="4"/>
        <item x="40"/>
        <item x="47"/>
        <item x="36"/>
        <item x="23"/>
        <item x="13"/>
        <item x="20"/>
        <item x="7"/>
        <item x="16"/>
        <item x="2"/>
        <item x="8"/>
        <item x="41"/>
        <item x="51"/>
        <item x="54"/>
        <item x="1"/>
        <item x="12"/>
        <item x="9"/>
        <item x="0"/>
        <item x="73"/>
        <item x="72"/>
        <item x="69"/>
        <item x="68"/>
        <item x="78"/>
        <item x="55"/>
        <item x="65"/>
        <item x="58"/>
        <item t="default"/>
      </items>
    </pivotField>
    <pivotField numFmtId="1" showAll="0">
      <items count="8">
        <item x="2"/>
        <item x="3"/>
        <item x="6"/>
        <item x="1"/>
        <item x="4"/>
        <item x="0"/>
        <item x="5"/>
        <item t="default"/>
      </items>
    </pivotField>
    <pivotField numFmtId="3" showAll="0"/>
    <pivotField numFmtId="8"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2"/>
  </rowFields>
  <rowItems count="8">
    <i>
      <x v="1"/>
    </i>
    <i>
      <x v="2"/>
    </i>
    <i>
      <x v="4"/>
    </i>
    <i>
      <x v="6"/>
    </i>
    <i>
      <x v="7"/>
    </i>
    <i>
      <x v="8"/>
    </i>
    <i>
      <x v="12"/>
    </i>
    <i t="grand">
      <x/>
    </i>
  </rowItems>
  <colFields count="1">
    <field x="-2"/>
  </colFields>
  <colItems count="2">
    <i>
      <x/>
    </i>
    <i i="1">
      <x v="1"/>
    </i>
  </colItems>
  <dataFields count="2">
    <dataField name="Total Revenue" fld="10" baseField="5" baseItem="0" numFmtId="165"/>
    <dataField name="%Growth" fld="10" showDataAs="percentDiff" baseField="12" baseItem="1048828" numFmtId="10"/>
  </dataFields>
  <formats count="7">
    <format dxfId="100">
      <pivotArea outline="0" collapsedLevelsAreSubtotals="1" fieldPosition="0"/>
    </format>
    <format dxfId="99">
      <pivotArea dataOnly="0" labelOnly="1" outline="0" fieldPosition="0">
        <references count="1">
          <reference field="4294967294" count="1">
            <x v="0"/>
          </reference>
        </references>
      </pivotArea>
    </format>
    <format dxfId="98">
      <pivotArea outline="0" collapsedLevelsAreSubtotals="1" fieldPosition="0"/>
    </format>
    <format dxfId="97">
      <pivotArea outline="0" fieldPosition="0">
        <references count="1">
          <reference field="4294967294" count="1">
            <x v="0"/>
          </reference>
        </references>
      </pivotArea>
    </format>
    <format dxfId="96">
      <pivotArea dataOnly="0" labelOnly="1" outline="0" fieldPosition="0">
        <references count="1">
          <reference field="4294967294" count="1">
            <x v="1"/>
          </reference>
        </references>
      </pivotArea>
    </format>
    <format dxfId="95">
      <pivotArea outline="0" collapsedLevelsAreSubtotals="1" fieldPosition="0">
        <references count="1">
          <reference field="4294967294" count="1" selected="0">
            <x v="1"/>
          </reference>
        </references>
      </pivotArea>
    </format>
    <format dxfId="94">
      <pivotArea outline="0" fieldPosition="0">
        <references count="1">
          <reference field="4294967294" count="1">
            <x v="1"/>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BAF877C-306F-4859-AABC-EBB37C75776F}" sourceName="Country">
  <pivotTables>
    <pivotTable tabId="12" name="PivotTable1"/>
    <pivotTable tabId="12" name="PivotTable10"/>
    <pivotTable tabId="12" name="PivotTable11"/>
    <pivotTable tabId="12" name="PivotTable2"/>
    <pivotTable tabId="12" name="PivotTable3"/>
    <pivotTable tabId="12" name="PivotTable38"/>
    <pivotTable tabId="12" name="PivotTable4"/>
    <pivotTable tabId="12" name="PivotTable5"/>
    <pivotTable tabId="12" name="PivotTable7"/>
    <pivotTable tabId="12" name="PivotTable8"/>
    <pivotTable tabId="12" name="PivotTable9"/>
  </pivotTables>
  <data>
    <tabular pivotCacheId="1982754000">
      <items count="87">
        <i x="9" s="1"/>
        <i x="68" s="1"/>
        <i x="19" s="1"/>
        <i x="43" s="1"/>
        <i x="10" s="1"/>
        <i x="47" s="1"/>
        <i x="16" s="1"/>
        <i x="7" s="1"/>
        <i x="11" s="1"/>
        <i x="3" s="1"/>
        <i x="79" s="1"/>
        <i x="23" s="1"/>
        <i x="76" s="1"/>
        <i x="48" s="1"/>
        <i x="2" s="1"/>
        <i x="37" s="1"/>
        <i x="38" s="1"/>
        <i x="56" s="1"/>
        <i x="40" s="1"/>
        <i x="71" s="1"/>
        <i x="36" s="1"/>
        <i x="25" s="1"/>
        <i x="5" s="1"/>
        <i x="0" s="1"/>
        <i x="15" s="1"/>
        <i x="39" s="1"/>
        <i x="78" s="1"/>
        <i x="33" s="1"/>
        <i x="60" s="1"/>
        <i x="52" s="1"/>
        <i x="22" s="1"/>
        <i x="13" s="1"/>
        <i x="74" s="1"/>
        <i x="24" s="1"/>
        <i x="67" s="1"/>
        <i x="32" s="1"/>
        <i x="55" s="1"/>
        <i x="62" s="1"/>
        <i x="49" s="1"/>
        <i x="64" s="1"/>
        <i x="51" s="1"/>
        <i x="1" s="1"/>
        <i x="29" s="1"/>
        <i x="30" s="1"/>
        <i x="20" s="1"/>
        <i x="83" s="1"/>
        <i x="77" s="1"/>
        <i x="4" s="1"/>
        <i x="18" s="1"/>
        <i x="86" s="1"/>
        <i x="66" s="1"/>
        <i x="80" s="1"/>
        <i x="75" s="1"/>
        <i x="50" s="1"/>
        <i x="81" s="1"/>
        <i x="41" s="1"/>
        <i x="73" s="1"/>
        <i x="69" s="1"/>
        <i x="45" s="1"/>
        <i x="27" s="1"/>
        <i x="46" s="1"/>
        <i x="57" s="1"/>
        <i x="61" s="1"/>
        <i x="31" s="1"/>
        <i x="72" s="1"/>
        <i x="85" s="1"/>
        <i x="34" s="1"/>
        <i x="53" s="1"/>
        <i x="58" s="1"/>
        <i x="82" s="1"/>
        <i x="54" s="1"/>
        <i x="70" s="1"/>
        <i x="8" s="1"/>
        <i x="44" s="1"/>
        <i x="17" s="1"/>
        <i x="14" s="1"/>
        <i x="65" s="1"/>
        <i x="63" s="1"/>
        <i x="21" s="1"/>
        <i x="26" s="1"/>
        <i x="59" s="1"/>
        <i x="28" s="1"/>
        <i x="6" s="1"/>
        <i x="84" s="1"/>
        <i x="35" s="1"/>
        <i x="42"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B06EBD9-A2B4-4DE8-8814-DFF21E9F3BBE}" sourceName="Product">
  <pivotTables>
    <pivotTable tabId="12" name="PivotTable1"/>
    <pivotTable tabId="12" name="PivotTable10"/>
    <pivotTable tabId="12" name="PivotTable11"/>
    <pivotTable tabId="12" name="PivotTable2"/>
    <pivotTable tabId="12" name="PivotTable3"/>
    <pivotTable tabId="12" name="PivotTable38"/>
    <pivotTable tabId="12" name="PivotTable4"/>
    <pivotTable tabId="12" name="PivotTable5"/>
    <pivotTable tabId="12" name="PivotTable7"/>
    <pivotTable tabId="12" name="PivotTable8"/>
    <pivotTable tabId="12" name="PivotTable9"/>
  </pivotTables>
  <data>
    <tabular pivotCacheId="1982754000">
      <items count="11">
        <i x="5" s="1"/>
        <i x="4" s="1"/>
        <i x="2" s="1"/>
        <i x="10" s="1"/>
        <i x="7" s="1"/>
        <i x="6" s="1"/>
        <i x="9" s="1"/>
        <i x="1" s="1"/>
        <i x="8"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6A6CCFB-7F59-47BB-AFF7-C58411C7F573}" sourceName="Sales Channel">
  <pivotTables>
    <pivotTable tabId="12" name="PivotTable1"/>
    <pivotTable tabId="12" name="PivotTable10"/>
    <pivotTable tabId="12" name="PivotTable11"/>
    <pivotTable tabId="12" name="PivotTable2"/>
    <pivotTable tabId="12" name="PivotTable3"/>
    <pivotTable tabId="12" name="PivotTable38"/>
    <pivotTable tabId="12" name="PivotTable4"/>
    <pivotTable tabId="12" name="PivotTable5"/>
    <pivotTable tabId="12" name="PivotTable7"/>
    <pivotTable tabId="12" name="PivotTable8"/>
    <pivotTable tabId="12" name="PivotTable9"/>
  </pivotTables>
  <data>
    <tabular pivotCacheId="198275400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Sold" xr10:uid="{D059513C-6B80-4EA2-ADBD-0DCF2A61AB01}" sourceName="Months (Date Sold)">
  <pivotTables>
    <pivotTable tabId="12" name="PivotTable1"/>
    <pivotTable tabId="12" name="PivotTable10"/>
    <pivotTable tabId="12" name="PivotTable11"/>
    <pivotTable tabId="12" name="PivotTable2"/>
    <pivotTable tabId="12" name="PivotTable3"/>
    <pivotTable tabId="12" name="PivotTable38"/>
    <pivotTable tabId="12" name="PivotTable4"/>
    <pivotTable tabId="12" name="PivotTable5"/>
    <pivotTable tabId="12" name="PivotTable7"/>
    <pivotTable tabId="12" name="PivotTable8"/>
    <pivotTable tabId="12" name="PivotTable9"/>
  </pivotTables>
  <data>
    <tabular pivotCacheId="1982754000">
      <items count="14">
        <i x="1" s="1"/>
        <i x="2" s="1"/>
        <i x="4" s="1"/>
        <i x="6" s="1"/>
        <i x="7" s="1"/>
        <i x="8" s="1"/>
        <i x="12" s="1"/>
        <i x="3" s="1" nd="1"/>
        <i x="5" s="1" nd="1"/>
        <i x="9" s="1" nd="1"/>
        <i x="10" s="1" nd="1"/>
        <i x="11"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359134F-73F1-43E1-AF26-7AE045168377}" cache="Slicer_Country" caption="Country" startItem="18" style="SlicerStyleDark5" rowHeight="234950"/>
  <slicer name="Product" xr10:uid="{4A07CA9D-2D0B-4726-9658-C469760BA657}" cache="Slicer_Product" caption="Product" startItem="3" style="SlicerStyleDark5" rowHeight="234950"/>
  <slicer name="Sales Channel" xr10:uid="{1305CFC6-56F9-4C29-B368-C4BECB595F62}" cache="Slicer_Sales_Channel" caption="Sales Channel" style="SlicerStyleDark5" rowHeight="234950"/>
  <slicer name="Months (Date Sold)" xr10:uid="{078DD3AA-9255-49C4-9499-E982A7DE4C8F}" cache="Slicer_Months__Date_Sold" caption="Months"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E849B40-48AA-4C66-B19E-DC050A095C14}" cache="Slicer_Country" caption="Country" rowHeight="234950"/>
  <slicer name="Product 1" xr10:uid="{2AA1B5F8-5107-4CC1-8971-5B062D6065CF}" cache="Slicer_Product" caption="Product" rowHeight="234950"/>
  <slicer name="Sales Channel 1" xr10:uid="{178347E3-47AA-4C5E-AD89-30819C6DC956}" cache="Slicer_Sales_Channel" caption="Sales Channel" rowHeight="234950"/>
  <slicer name="Months (Date Sold) 1" xr10:uid="{97BEA294-0181-4A25-9383-B8896699BFC3}" cache="Slicer_Months__Date_Sold" caption="Month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068CFD-E645-424A-903E-65572BCEF658}" name="Data_tbl" displayName="Data_tbl" ref="A1:K108" totalsRowShown="0" headerRowDxfId="135" dataDxfId="134" tableBorderDxfId="133">
  <autoFilter ref="A1:K108" xr:uid="{3E068CFD-E645-424A-903E-65572BCEF658}"/>
  <tableColumns count="11">
    <tableColumn id="1" xr3:uid="{1876A74C-9F6E-4728-8655-9FEF0C3226EF}" name="Distributor ID" dataDxfId="132"/>
    <tableColumn id="2" xr3:uid="{BAFCCC48-FD3D-418B-BD22-3C4D6F72DF4E}" name="Distributor Name" dataDxfId="131"/>
    <tableColumn id="3" xr3:uid="{F3DD0A6D-9365-42C4-9FFC-6B2F05080D44}" name="Country" dataDxfId="130"/>
    <tableColumn id="4" xr3:uid="{4DFBB359-DAC4-42D3-A8DC-2B1764A44F04}" name="Product Code" dataDxfId="129"/>
    <tableColumn id="5" xr3:uid="{82373078-172A-4A28-9C91-AB0C7C100D82}" name="Product" dataDxfId="128"/>
    <tableColumn id="6" xr3:uid="{DC7CFB3F-BC27-4111-B9C6-ACC8D9005153}" name="Sales Channel" dataDxfId="127"/>
    <tableColumn id="7" xr3:uid="{A972A6C2-47F2-4F05-85F0-462CCFFF79A4}" name="Date Sold" dataDxfId="126"/>
    <tableColumn id="8" xr3:uid="{1A038EC4-0992-4462-9570-52B78DC75A3A}" name="Month Sold" dataDxfId="125">
      <calculatedColumnFormula>VALUE(MONTH(G2))</calculatedColumnFormula>
    </tableColumn>
    <tableColumn id="9" xr3:uid="{2A3F0396-9AA2-4AF7-A713-BF3E8FB562B5}" name="Quantity" dataDxfId="124"/>
    <tableColumn id="10" xr3:uid="{42709536-3F60-40E1-8D26-9DF727BB5BB1}" name="Unit Price" dataDxfId="123" dataCellStyle="Currency"/>
    <tableColumn id="11" xr3:uid="{2A5AB462-DDCB-40C8-A78B-D1C755B25E4F}" name="Revenue" dataDxfId="122">
      <calculatedColumnFormula>J2*I2</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E92" totalsRowShown="0" headerRowDxfId="121" dataDxfId="119" headerRowBorderDxfId="120" tableBorderDxfId="118" totalsRowBorderDxfId="117">
  <autoFilter ref="A2:E92" xr:uid="{00000000-0009-0000-0100-000002000000}"/>
  <tableColumns count="5">
    <tableColumn id="1" xr3:uid="{00000000-0010-0000-0000-000001000000}" name="Plyaer name" dataDxfId="116"/>
    <tableColumn id="2" xr3:uid="{00000000-0010-0000-0000-000002000000}" name="Team" dataDxfId="115"/>
    <tableColumn id="3" xr3:uid="{00000000-0010-0000-0000-000003000000}" name="Goals" dataDxfId="114"/>
    <tableColumn id="4" xr3:uid="{00000000-0010-0000-0000-000004000000}" name="Matches" dataDxfId="113"/>
    <tableColumn id="5" xr3:uid="{00000000-0010-0000-0000-000005000000}" name="Cups" dataDxfId="1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3"/>
  <sheetViews>
    <sheetView workbookViewId="0">
      <selection activeCell="K7" sqref="K7"/>
    </sheetView>
  </sheetViews>
  <sheetFormatPr defaultRowHeight="14.4" x14ac:dyDescent="0.3"/>
  <cols>
    <col min="1" max="1" width="25.6640625" customWidth="1"/>
    <col min="3" max="3" width="25.6640625" customWidth="1"/>
    <col min="4" max="4" width="9.109375" customWidth="1"/>
    <col min="5" max="5" width="25.6640625" customWidth="1"/>
    <col min="6" max="6" width="9.109375" customWidth="1"/>
    <col min="7" max="7" width="25.6640625" customWidth="1"/>
    <col min="8" max="8" width="9.109375" customWidth="1"/>
  </cols>
  <sheetData>
    <row r="1" spans="1:8" x14ac:dyDescent="0.3">
      <c r="A1" s="84" t="s">
        <v>376</v>
      </c>
      <c r="B1" s="84"/>
      <c r="C1" s="84" t="s">
        <v>276</v>
      </c>
      <c r="D1" s="84"/>
      <c r="E1" s="84" t="s">
        <v>277</v>
      </c>
      <c r="F1" s="84"/>
      <c r="G1" s="84" t="s">
        <v>278</v>
      </c>
      <c r="H1" s="84"/>
    </row>
    <row r="2" spans="1:8" x14ac:dyDescent="0.3">
      <c r="A2" s="2" t="s">
        <v>377</v>
      </c>
      <c r="B2" s="5" t="s">
        <v>275</v>
      </c>
      <c r="C2" s="2" t="s">
        <v>377</v>
      </c>
      <c r="D2" s="5" t="s">
        <v>275</v>
      </c>
      <c r="E2" s="2" t="s">
        <v>377</v>
      </c>
      <c r="F2" s="5" t="s">
        <v>275</v>
      </c>
      <c r="G2" s="2" t="s">
        <v>377</v>
      </c>
      <c r="H2" s="5" t="s">
        <v>275</v>
      </c>
    </row>
    <row r="3" spans="1:8" x14ac:dyDescent="0.3">
      <c r="A3" s="3" t="s">
        <v>279</v>
      </c>
      <c r="B3" s="4">
        <v>6</v>
      </c>
      <c r="C3" s="3" t="s">
        <v>0</v>
      </c>
      <c r="D3" s="4">
        <v>5</v>
      </c>
      <c r="E3" s="3" t="s">
        <v>5</v>
      </c>
      <c r="F3" s="4">
        <v>5</v>
      </c>
      <c r="G3" s="3" t="s">
        <v>99</v>
      </c>
      <c r="H3" s="4">
        <v>8</v>
      </c>
    </row>
    <row r="4" spans="1:8" x14ac:dyDescent="0.3">
      <c r="A4" s="3" t="s">
        <v>0</v>
      </c>
      <c r="B4" s="4">
        <v>5</v>
      </c>
      <c r="C4" s="3" t="s">
        <v>1</v>
      </c>
      <c r="D4" s="4">
        <v>5</v>
      </c>
      <c r="E4" s="3" t="s">
        <v>97</v>
      </c>
      <c r="F4" s="4">
        <v>3</v>
      </c>
      <c r="G4" s="3" t="s">
        <v>190</v>
      </c>
      <c r="H4" s="4">
        <v>5</v>
      </c>
    </row>
    <row r="5" spans="1:8" x14ac:dyDescent="0.3">
      <c r="A5" s="3" t="s">
        <v>121</v>
      </c>
      <c r="B5" s="4">
        <v>4</v>
      </c>
      <c r="C5" s="3" t="s">
        <v>2</v>
      </c>
      <c r="D5" s="4">
        <v>5</v>
      </c>
      <c r="E5" s="3" t="s">
        <v>98</v>
      </c>
      <c r="F5" s="4">
        <v>3</v>
      </c>
      <c r="G5" s="3" t="s">
        <v>5</v>
      </c>
      <c r="H5" s="4">
        <v>5</v>
      </c>
    </row>
    <row r="6" spans="1:8" x14ac:dyDescent="0.3">
      <c r="A6" s="3" t="s">
        <v>280</v>
      </c>
      <c r="B6" s="4">
        <v>4</v>
      </c>
      <c r="C6" s="3" t="s">
        <v>3</v>
      </c>
      <c r="D6" s="4">
        <v>5</v>
      </c>
      <c r="E6" s="3" t="s">
        <v>99</v>
      </c>
      <c r="F6" s="4">
        <v>3</v>
      </c>
      <c r="G6" s="3" t="s">
        <v>36</v>
      </c>
      <c r="H6" s="4">
        <v>4</v>
      </c>
    </row>
    <row r="7" spans="1:8" x14ac:dyDescent="0.3">
      <c r="A7" s="3" t="s">
        <v>65</v>
      </c>
      <c r="B7" s="4">
        <v>4</v>
      </c>
      <c r="C7" s="3" t="s">
        <v>4</v>
      </c>
      <c r="D7" s="4">
        <v>4</v>
      </c>
      <c r="E7" s="3" t="s">
        <v>100</v>
      </c>
      <c r="F7" s="4">
        <v>3</v>
      </c>
      <c r="G7" s="3" t="s">
        <v>191</v>
      </c>
      <c r="H7" s="4">
        <v>4</v>
      </c>
    </row>
    <row r="8" spans="1:8" x14ac:dyDescent="0.3">
      <c r="A8" s="3" t="s">
        <v>281</v>
      </c>
      <c r="B8" s="4">
        <v>3</v>
      </c>
      <c r="C8" s="3" t="s">
        <v>5</v>
      </c>
      <c r="D8" s="4">
        <v>4</v>
      </c>
      <c r="E8" s="3" t="s">
        <v>101</v>
      </c>
      <c r="F8" s="4">
        <v>3</v>
      </c>
      <c r="G8" s="3" t="s">
        <v>192</v>
      </c>
      <c r="H8" s="4">
        <v>3</v>
      </c>
    </row>
    <row r="9" spans="1:8" x14ac:dyDescent="0.3">
      <c r="A9" s="3" t="s">
        <v>282</v>
      </c>
      <c r="B9" s="4">
        <v>3</v>
      </c>
      <c r="C9" s="3" t="s">
        <v>6</v>
      </c>
      <c r="D9" s="4">
        <v>4</v>
      </c>
      <c r="E9" s="3" t="s">
        <v>16</v>
      </c>
      <c r="F9" s="4">
        <v>3</v>
      </c>
      <c r="G9" s="3" t="s">
        <v>193</v>
      </c>
      <c r="H9" s="4">
        <v>3</v>
      </c>
    </row>
    <row r="10" spans="1:8" x14ac:dyDescent="0.3">
      <c r="A10" s="3" t="s">
        <v>283</v>
      </c>
      <c r="B10" s="4">
        <v>3</v>
      </c>
      <c r="C10" s="3" t="s">
        <v>7</v>
      </c>
      <c r="D10" s="4">
        <v>3</v>
      </c>
      <c r="E10" s="3" t="s">
        <v>102</v>
      </c>
      <c r="F10" s="4">
        <v>3</v>
      </c>
      <c r="G10" s="3" t="s">
        <v>164</v>
      </c>
      <c r="H10" s="4">
        <v>3</v>
      </c>
    </row>
    <row r="11" spans="1:8" x14ac:dyDescent="0.3">
      <c r="A11" s="3" t="s">
        <v>19</v>
      </c>
      <c r="B11" s="4">
        <v>3</v>
      </c>
      <c r="C11" s="3" t="s">
        <v>8</v>
      </c>
      <c r="D11" s="4">
        <v>3</v>
      </c>
      <c r="E11" s="3" t="s">
        <v>2</v>
      </c>
      <c r="F11" s="4">
        <v>3</v>
      </c>
      <c r="G11" s="3" t="s">
        <v>194</v>
      </c>
      <c r="H11" s="4">
        <v>3</v>
      </c>
    </row>
    <row r="12" spans="1:8" x14ac:dyDescent="0.3">
      <c r="A12" s="3" t="s">
        <v>284</v>
      </c>
      <c r="B12" s="4">
        <v>3</v>
      </c>
      <c r="C12" s="3" t="s">
        <v>9</v>
      </c>
      <c r="D12" s="4">
        <v>3</v>
      </c>
      <c r="E12" s="3" t="s">
        <v>28</v>
      </c>
      <c r="F12" s="4">
        <v>2</v>
      </c>
      <c r="G12" s="3" t="s">
        <v>195</v>
      </c>
      <c r="H12" s="4">
        <v>3</v>
      </c>
    </row>
    <row r="13" spans="1:8" x14ac:dyDescent="0.3">
      <c r="A13" s="3" t="s">
        <v>285</v>
      </c>
      <c r="B13" s="4">
        <v>2</v>
      </c>
      <c r="C13" s="3" t="s">
        <v>10</v>
      </c>
      <c r="D13" s="4">
        <v>3</v>
      </c>
      <c r="E13" s="3" t="s">
        <v>103</v>
      </c>
      <c r="F13" s="4">
        <v>2</v>
      </c>
      <c r="G13" s="3" t="s">
        <v>196</v>
      </c>
      <c r="H13" s="4">
        <v>3</v>
      </c>
    </row>
    <row r="14" spans="1:8" x14ac:dyDescent="0.3">
      <c r="A14" s="3" t="s">
        <v>286</v>
      </c>
      <c r="B14" s="4">
        <v>2</v>
      </c>
      <c r="C14" s="3" t="s">
        <v>11</v>
      </c>
      <c r="D14" s="4">
        <v>2</v>
      </c>
      <c r="E14" s="3" t="s">
        <v>104</v>
      </c>
      <c r="F14" s="4">
        <v>2</v>
      </c>
      <c r="G14" s="3" t="s">
        <v>173</v>
      </c>
      <c r="H14" s="4">
        <v>3</v>
      </c>
    </row>
    <row r="15" spans="1:8" x14ac:dyDescent="0.3">
      <c r="A15" s="3" t="s">
        <v>28</v>
      </c>
      <c r="B15" s="4">
        <v>2</v>
      </c>
      <c r="C15" s="3" t="s">
        <v>12</v>
      </c>
      <c r="D15" s="4">
        <v>2</v>
      </c>
      <c r="E15" s="3" t="s">
        <v>105</v>
      </c>
      <c r="F15" s="4">
        <v>2</v>
      </c>
      <c r="G15" s="3" t="s">
        <v>175</v>
      </c>
      <c r="H15" s="4">
        <v>3</v>
      </c>
    </row>
    <row r="16" spans="1:8" x14ac:dyDescent="0.3">
      <c r="A16" s="3" t="s">
        <v>287</v>
      </c>
      <c r="B16" s="4">
        <v>2</v>
      </c>
      <c r="C16" s="3" t="s">
        <v>13</v>
      </c>
      <c r="D16" s="4">
        <v>2</v>
      </c>
      <c r="E16" s="3" t="s">
        <v>106</v>
      </c>
      <c r="F16" s="4">
        <v>2</v>
      </c>
      <c r="G16" s="3" t="s">
        <v>197</v>
      </c>
      <c r="H16" s="4">
        <v>3</v>
      </c>
    </row>
    <row r="17" spans="1:8" x14ac:dyDescent="0.3">
      <c r="A17" s="3" t="s">
        <v>288</v>
      </c>
      <c r="B17" s="4">
        <v>2</v>
      </c>
      <c r="C17" s="3" t="s">
        <v>14</v>
      </c>
      <c r="D17" s="4">
        <v>2</v>
      </c>
      <c r="E17" s="3" t="s">
        <v>107</v>
      </c>
      <c r="F17" s="4">
        <v>2</v>
      </c>
      <c r="G17" s="3" t="s">
        <v>198</v>
      </c>
      <c r="H17" s="4">
        <v>2</v>
      </c>
    </row>
    <row r="18" spans="1:8" x14ac:dyDescent="0.3">
      <c r="A18" s="3" t="s">
        <v>289</v>
      </c>
      <c r="B18" s="4">
        <v>2</v>
      </c>
      <c r="C18" s="3" t="s">
        <v>15</v>
      </c>
      <c r="D18" s="4">
        <v>2</v>
      </c>
      <c r="E18" s="3" t="s">
        <v>38</v>
      </c>
      <c r="F18" s="4">
        <v>2</v>
      </c>
      <c r="G18" s="3" t="s">
        <v>131</v>
      </c>
      <c r="H18" s="4">
        <v>2</v>
      </c>
    </row>
    <row r="19" spans="1:8" x14ac:dyDescent="0.3">
      <c r="A19" s="3" t="s">
        <v>290</v>
      </c>
      <c r="B19" s="4">
        <v>2</v>
      </c>
      <c r="C19" s="3" t="s">
        <v>16</v>
      </c>
      <c r="D19" s="4">
        <v>2</v>
      </c>
      <c r="E19" s="3" t="s">
        <v>108</v>
      </c>
      <c r="F19" s="4">
        <v>2</v>
      </c>
      <c r="G19" s="3" t="s">
        <v>199</v>
      </c>
      <c r="H19" s="4">
        <v>2</v>
      </c>
    </row>
    <row r="20" spans="1:8" x14ac:dyDescent="0.3">
      <c r="A20" s="3" t="s">
        <v>291</v>
      </c>
      <c r="B20" s="4">
        <v>2</v>
      </c>
      <c r="C20" s="3" t="s">
        <v>17</v>
      </c>
      <c r="D20" s="4">
        <v>2</v>
      </c>
      <c r="E20" s="3" t="s">
        <v>109</v>
      </c>
      <c r="F20" s="4">
        <v>2</v>
      </c>
      <c r="G20" s="3" t="s">
        <v>200</v>
      </c>
      <c r="H20" s="4">
        <v>2</v>
      </c>
    </row>
    <row r="21" spans="1:8" x14ac:dyDescent="0.3">
      <c r="A21" s="3" t="s">
        <v>292</v>
      </c>
      <c r="B21" s="4">
        <v>2</v>
      </c>
      <c r="C21" s="3" t="s">
        <v>18</v>
      </c>
      <c r="D21" s="4">
        <v>2</v>
      </c>
      <c r="E21" s="3" t="s">
        <v>110</v>
      </c>
      <c r="F21" s="4">
        <v>2</v>
      </c>
      <c r="G21" s="3" t="s">
        <v>201</v>
      </c>
      <c r="H21" s="4">
        <v>2</v>
      </c>
    </row>
    <row r="22" spans="1:8" x14ac:dyDescent="0.3">
      <c r="A22" s="3" t="s">
        <v>293</v>
      </c>
      <c r="B22" s="4">
        <v>2</v>
      </c>
      <c r="C22" s="3" t="s">
        <v>19</v>
      </c>
      <c r="D22" s="4">
        <v>2</v>
      </c>
      <c r="E22" s="3" t="s">
        <v>111</v>
      </c>
      <c r="F22" s="4">
        <v>2</v>
      </c>
      <c r="G22" s="3" t="s">
        <v>161</v>
      </c>
      <c r="H22" s="4">
        <v>2</v>
      </c>
    </row>
    <row r="23" spans="1:8" x14ac:dyDescent="0.3">
      <c r="A23" s="3" t="s">
        <v>294</v>
      </c>
      <c r="B23" s="4">
        <v>2</v>
      </c>
      <c r="C23" s="3" t="s">
        <v>20</v>
      </c>
      <c r="D23" s="4">
        <v>2</v>
      </c>
      <c r="E23" s="3" t="s">
        <v>112</v>
      </c>
      <c r="F23" s="4">
        <v>2</v>
      </c>
      <c r="G23" s="3" t="s">
        <v>202</v>
      </c>
      <c r="H23" s="4">
        <v>2</v>
      </c>
    </row>
    <row r="24" spans="1:8" x14ac:dyDescent="0.3">
      <c r="A24" s="3" t="s">
        <v>295</v>
      </c>
      <c r="B24" s="4">
        <v>2</v>
      </c>
      <c r="C24" s="3" t="s">
        <v>21</v>
      </c>
      <c r="D24" s="4">
        <v>2</v>
      </c>
      <c r="E24" s="3" t="s">
        <v>113</v>
      </c>
      <c r="F24" s="4">
        <v>2</v>
      </c>
      <c r="G24" s="3" t="s">
        <v>169</v>
      </c>
      <c r="H24" s="4">
        <v>2</v>
      </c>
    </row>
    <row r="25" spans="1:8" x14ac:dyDescent="0.3">
      <c r="A25" s="3" t="s">
        <v>5</v>
      </c>
      <c r="B25" s="4">
        <v>2</v>
      </c>
      <c r="C25" s="3" t="s">
        <v>22</v>
      </c>
      <c r="D25" s="4">
        <v>2</v>
      </c>
      <c r="E25" s="3" t="s">
        <v>114</v>
      </c>
      <c r="F25" s="4">
        <v>2</v>
      </c>
      <c r="G25" s="3" t="s">
        <v>203</v>
      </c>
      <c r="H25" s="4">
        <v>2</v>
      </c>
    </row>
    <row r="26" spans="1:8" x14ac:dyDescent="0.3">
      <c r="A26" s="3" t="s">
        <v>296</v>
      </c>
      <c r="B26" s="4">
        <v>2</v>
      </c>
      <c r="C26" s="3" t="s">
        <v>23</v>
      </c>
      <c r="D26" s="4">
        <v>2</v>
      </c>
      <c r="E26" s="3" t="s">
        <v>115</v>
      </c>
      <c r="F26" s="4">
        <v>2</v>
      </c>
      <c r="G26" s="3" t="s">
        <v>204</v>
      </c>
      <c r="H26" s="4">
        <v>2</v>
      </c>
    </row>
    <row r="27" spans="1:8" x14ac:dyDescent="0.3">
      <c r="A27" s="3" t="s">
        <v>297</v>
      </c>
      <c r="B27" s="4">
        <v>2</v>
      </c>
      <c r="C27" s="3" t="s">
        <v>24</v>
      </c>
      <c r="D27" s="4">
        <v>2</v>
      </c>
      <c r="E27" s="3" t="s">
        <v>116</v>
      </c>
      <c r="F27" s="4">
        <v>2</v>
      </c>
      <c r="G27" s="3" t="s">
        <v>205</v>
      </c>
      <c r="H27" s="4">
        <v>2</v>
      </c>
    </row>
    <row r="28" spans="1:8" x14ac:dyDescent="0.3">
      <c r="A28" s="3" t="s">
        <v>8</v>
      </c>
      <c r="B28" s="4">
        <v>2</v>
      </c>
      <c r="C28" s="3" t="s">
        <v>25</v>
      </c>
      <c r="D28" s="4">
        <v>1</v>
      </c>
      <c r="E28" s="3" t="s">
        <v>117</v>
      </c>
      <c r="F28" s="4">
        <v>2</v>
      </c>
      <c r="G28" s="3" t="s">
        <v>9</v>
      </c>
      <c r="H28" s="4">
        <v>2</v>
      </c>
    </row>
    <row r="29" spans="1:8" x14ac:dyDescent="0.3">
      <c r="A29" s="3" t="s">
        <v>298</v>
      </c>
      <c r="B29" s="4">
        <v>2</v>
      </c>
      <c r="C29" s="3" t="s">
        <v>26</v>
      </c>
      <c r="D29" s="4">
        <v>1</v>
      </c>
      <c r="E29" s="3" t="s">
        <v>118</v>
      </c>
      <c r="F29" s="4">
        <v>1</v>
      </c>
      <c r="G29" s="3" t="s">
        <v>206</v>
      </c>
      <c r="H29" s="4">
        <v>2</v>
      </c>
    </row>
    <row r="30" spans="1:8" x14ac:dyDescent="0.3">
      <c r="A30" s="3" t="s">
        <v>299</v>
      </c>
      <c r="B30" s="4">
        <v>2</v>
      </c>
      <c r="C30" s="3" t="s">
        <v>27</v>
      </c>
      <c r="D30" s="4">
        <v>1</v>
      </c>
      <c r="E30" s="3" t="s">
        <v>119</v>
      </c>
      <c r="F30" s="4">
        <v>1</v>
      </c>
      <c r="G30" s="3" t="s">
        <v>207</v>
      </c>
      <c r="H30" s="4">
        <v>1</v>
      </c>
    </row>
    <row r="31" spans="1:8" x14ac:dyDescent="0.3">
      <c r="A31" s="3" t="s">
        <v>300</v>
      </c>
      <c r="B31" s="4">
        <v>2</v>
      </c>
      <c r="C31" s="3" t="s">
        <v>28</v>
      </c>
      <c r="D31" s="4">
        <v>1</v>
      </c>
      <c r="E31" s="3" t="s">
        <v>120</v>
      </c>
      <c r="F31" s="4">
        <v>1</v>
      </c>
      <c r="G31" s="3" t="s">
        <v>97</v>
      </c>
      <c r="H31" s="4">
        <v>1</v>
      </c>
    </row>
    <row r="32" spans="1:8" x14ac:dyDescent="0.3">
      <c r="A32" s="3" t="s">
        <v>301</v>
      </c>
      <c r="B32" s="4">
        <v>2</v>
      </c>
      <c r="C32" s="3" t="s">
        <v>29</v>
      </c>
      <c r="D32" s="4">
        <v>1</v>
      </c>
      <c r="E32" s="3" t="s">
        <v>121</v>
      </c>
      <c r="F32" s="4">
        <v>1</v>
      </c>
      <c r="G32" s="3" t="s">
        <v>208</v>
      </c>
      <c r="H32" s="4">
        <v>1</v>
      </c>
    </row>
    <row r="33" spans="1:8" x14ac:dyDescent="0.3">
      <c r="A33" s="3" t="s">
        <v>92</v>
      </c>
      <c r="B33" s="4">
        <v>2</v>
      </c>
      <c r="C33" s="3" t="s">
        <v>30</v>
      </c>
      <c r="D33" s="4">
        <v>1</v>
      </c>
      <c r="E33" s="3" t="s">
        <v>122</v>
      </c>
      <c r="F33" s="4">
        <v>1</v>
      </c>
      <c r="G33" s="3" t="s">
        <v>209</v>
      </c>
      <c r="H33" s="4">
        <v>1</v>
      </c>
    </row>
    <row r="34" spans="1:8" x14ac:dyDescent="0.3">
      <c r="A34" s="3" t="s">
        <v>10</v>
      </c>
      <c r="B34" s="4">
        <v>2</v>
      </c>
      <c r="C34" s="3" t="s">
        <v>31</v>
      </c>
      <c r="D34" s="4">
        <v>1</v>
      </c>
      <c r="E34" s="3" t="s">
        <v>11</v>
      </c>
      <c r="F34" s="4">
        <v>1</v>
      </c>
      <c r="G34" s="3" t="s">
        <v>210</v>
      </c>
      <c r="H34" s="4">
        <v>1</v>
      </c>
    </row>
    <row r="35" spans="1:8" x14ac:dyDescent="0.3">
      <c r="A35" s="3" t="s">
        <v>302</v>
      </c>
      <c r="B35" s="4">
        <v>1</v>
      </c>
      <c r="C35" s="3" t="s">
        <v>32</v>
      </c>
      <c r="D35" s="4">
        <v>1</v>
      </c>
      <c r="E35" s="3" t="s">
        <v>123</v>
      </c>
      <c r="F35" s="4">
        <v>1</v>
      </c>
      <c r="G35" s="3" t="s">
        <v>211</v>
      </c>
      <c r="H35" s="4">
        <v>1</v>
      </c>
    </row>
    <row r="36" spans="1:8" x14ac:dyDescent="0.3">
      <c r="A36" s="3" t="s">
        <v>303</v>
      </c>
      <c r="B36" s="4">
        <v>1</v>
      </c>
      <c r="C36" s="3" t="s">
        <v>33</v>
      </c>
      <c r="D36" s="4">
        <v>1</v>
      </c>
      <c r="E36" s="3" t="s">
        <v>124</v>
      </c>
      <c r="F36" s="4">
        <v>1</v>
      </c>
      <c r="G36" s="3" t="s">
        <v>212</v>
      </c>
      <c r="H36" s="4">
        <v>1</v>
      </c>
    </row>
    <row r="37" spans="1:8" x14ac:dyDescent="0.3">
      <c r="A37" s="3" t="s">
        <v>304</v>
      </c>
      <c r="B37" s="4">
        <v>1</v>
      </c>
      <c r="C37" s="3" t="s">
        <v>34</v>
      </c>
      <c r="D37" s="4">
        <v>1</v>
      </c>
      <c r="E37" s="3" t="s">
        <v>125</v>
      </c>
      <c r="F37" s="4">
        <v>1</v>
      </c>
      <c r="G37" s="3" t="s">
        <v>213</v>
      </c>
      <c r="H37" s="4">
        <v>1</v>
      </c>
    </row>
    <row r="38" spans="1:8" x14ac:dyDescent="0.3">
      <c r="A38" s="3" t="s">
        <v>305</v>
      </c>
      <c r="B38" s="4">
        <v>1</v>
      </c>
      <c r="C38" s="3" t="s">
        <v>35</v>
      </c>
      <c r="D38" s="4">
        <v>1</v>
      </c>
      <c r="E38" s="3" t="s">
        <v>126</v>
      </c>
      <c r="F38" s="4">
        <v>1</v>
      </c>
      <c r="G38" s="3" t="s">
        <v>15</v>
      </c>
      <c r="H38" s="4">
        <v>1</v>
      </c>
    </row>
    <row r="39" spans="1:8" x14ac:dyDescent="0.3">
      <c r="A39" s="3" t="s">
        <v>4</v>
      </c>
      <c r="B39" s="4">
        <v>1</v>
      </c>
      <c r="C39" s="3" t="s">
        <v>36</v>
      </c>
      <c r="D39" s="4">
        <v>1</v>
      </c>
      <c r="E39" s="3" t="s">
        <v>127</v>
      </c>
      <c r="F39" s="4">
        <v>1</v>
      </c>
      <c r="G39" s="3" t="s">
        <v>214</v>
      </c>
      <c r="H39" s="4">
        <v>1</v>
      </c>
    </row>
    <row r="40" spans="1:8" x14ac:dyDescent="0.3">
      <c r="A40" s="3" t="s">
        <v>306</v>
      </c>
      <c r="B40" s="4">
        <v>1</v>
      </c>
      <c r="C40" s="3" t="s">
        <v>37</v>
      </c>
      <c r="D40" s="4">
        <v>1</v>
      </c>
      <c r="E40" s="3" t="s">
        <v>128</v>
      </c>
      <c r="F40" s="4">
        <v>1</v>
      </c>
      <c r="G40" s="3" t="s">
        <v>215</v>
      </c>
      <c r="H40" s="4">
        <v>1</v>
      </c>
    </row>
    <row r="41" spans="1:8" x14ac:dyDescent="0.3">
      <c r="A41" s="3" t="s">
        <v>307</v>
      </c>
      <c r="B41" s="4">
        <v>1</v>
      </c>
      <c r="C41" s="3" t="s">
        <v>38</v>
      </c>
      <c r="D41" s="4">
        <v>1</v>
      </c>
      <c r="E41" s="3" t="s">
        <v>129</v>
      </c>
      <c r="F41" s="4">
        <v>1</v>
      </c>
      <c r="G41" s="3" t="s">
        <v>104</v>
      </c>
      <c r="H41" s="4">
        <v>1</v>
      </c>
    </row>
    <row r="42" spans="1:8" x14ac:dyDescent="0.3">
      <c r="A42" s="3" t="s">
        <v>308</v>
      </c>
      <c r="B42" s="4">
        <v>1</v>
      </c>
      <c r="C42" s="3" t="s">
        <v>39</v>
      </c>
      <c r="D42" s="4">
        <v>1</v>
      </c>
      <c r="E42" s="3" t="s">
        <v>130</v>
      </c>
      <c r="F42" s="4">
        <v>1</v>
      </c>
      <c r="G42" s="3" t="s">
        <v>216</v>
      </c>
      <c r="H42" s="4">
        <v>1</v>
      </c>
    </row>
    <row r="43" spans="1:8" x14ac:dyDescent="0.3">
      <c r="A43" s="3" t="s">
        <v>309</v>
      </c>
      <c r="B43" s="4">
        <v>1</v>
      </c>
      <c r="C43" s="3" t="s">
        <v>40</v>
      </c>
      <c r="D43" s="4">
        <v>1</v>
      </c>
      <c r="E43" s="3" t="s">
        <v>131</v>
      </c>
      <c r="F43" s="4">
        <v>1</v>
      </c>
      <c r="G43" s="3" t="s">
        <v>217</v>
      </c>
      <c r="H43" s="4">
        <v>1</v>
      </c>
    </row>
    <row r="44" spans="1:8" x14ac:dyDescent="0.3">
      <c r="A44" s="3" t="s">
        <v>310</v>
      </c>
      <c r="B44" s="4">
        <v>1</v>
      </c>
      <c r="C44" s="3" t="s">
        <v>41</v>
      </c>
      <c r="D44" s="4">
        <v>1</v>
      </c>
      <c r="E44" s="3" t="s">
        <v>132</v>
      </c>
      <c r="F44" s="4">
        <v>1</v>
      </c>
      <c r="G44" s="3" t="s">
        <v>218</v>
      </c>
      <c r="H44" s="4">
        <v>1</v>
      </c>
    </row>
    <row r="45" spans="1:8" x14ac:dyDescent="0.3">
      <c r="A45" s="3" t="s">
        <v>311</v>
      </c>
      <c r="B45" s="4">
        <v>1</v>
      </c>
      <c r="C45" s="3" t="s">
        <v>42</v>
      </c>
      <c r="D45" s="4">
        <v>1</v>
      </c>
      <c r="E45" s="3" t="s">
        <v>133</v>
      </c>
      <c r="F45" s="4">
        <v>1</v>
      </c>
      <c r="G45" s="3" t="s">
        <v>35</v>
      </c>
      <c r="H45" s="4">
        <v>1</v>
      </c>
    </row>
    <row r="46" spans="1:8" x14ac:dyDescent="0.3">
      <c r="A46" s="3" t="s">
        <v>312</v>
      </c>
      <c r="B46" s="4">
        <v>1</v>
      </c>
      <c r="C46" s="3" t="s">
        <v>43</v>
      </c>
      <c r="D46" s="4">
        <v>1</v>
      </c>
      <c r="E46" s="3" t="s">
        <v>134</v>
      </c>
      <c r="F46" s="4">
        <v>1</v>
      </c>
      <c r="G46" s="3" t="s">
        <v>106</v>
      </c>
      <c r="H46" s="4">
        <v>1</v>
      </c>
    </row>
    <row r="47" spans="1:8" x14ac:dyDescent="0.3">
      <c r="A47" s="3" t="s">
        <v>313</v>
      </c>
      <c r="B47" s="4">
        <v>1</v>
      </c>
      <c r="C47" s="3" t="s">
        <v>44</v>
      </c>
      <c r="D47" s="4">
        <v>1</v>
      </c>
      <c r="E47" s="3" t="s">
        <v>135</v>
      </c>
      <c r="F47" s="4">
        <v>1</v>
      </c>
      <c r="G47" s="3" t="s">
        <v>219</v>
      </c>
      <c r="H47" s="4">
        <v>1</v>
      </c>
    </row>
    <row r="48" spans="1:8" x14ac:dyDescent="0.3">
      <c r="A48" s="3" t="s">
        <v>314</v>
      </c>
      <c r="B48" s="4">
        <v>1</v>
      </c>
      <c r="C48" s="3" t="s">
        <v>45</v>
      </c>
      <c r="D48" s="4">
        <v>1</v>
      </c>
      <c r="E48" s="3" t="s">
        <v>136</v>
      </c>
      <c r="F48" s="4">
        <v>1</v>
      </c>
      <c r="G48" s="3" t="s">
        <v>136</v>
      </c>
      <c r="H48" s="4">
        <v>1</v>
      </c>
    </row>
    <row r="49" spans="1:8" x14ac:dyDescent="0.3">
      <c r="A49" s="3" t="s">
        <v>315</v>
      </c>
      <c r="B49" s="4">
        <v>1</v>
      </c>
      <c r="C49" s="3" t="s">
        <v>46</v>
      </c>
      <c r="D49" s="4">
        <v>1</v>
      </c>
      <c r="E49" s="3" t="s">
        <v>137</v>
      </c>
      <c r="F49" s="4">
        <v>1</v>
      </c>
      <c r="G49" s="3" t="s">
        <v>220</v>
      </c>
      <c r="H49" s="4">
        <v>1</v>
      </c>
    </row>
    <row r="50" spans="1:8" x14ac:dyDescent="0.3">
      <c r="A50" s="3" t="s">
        <v>316</v>
      </c>
      <c r="B50" s="4">
        <v>1</v>
      </c>
      <c r="C50" s="3" t="s">
        <v>47</v>
      </c>
      <c r="D50" s="4">
        <v>1</v>
      </c>
      <c r="E50" s="3" t="s">
        <v>138</v>
      </c>
      <c r="F50" s="4">
        <v>1</v>
      </c>
      <c r="G50" s="3" t="s">
        <v>221</v>
      </c>
      <c r="H50" s="4">
        <v>1</v>
      </c>
    </row>
    <row r="51" spans="1:8" x14ac:dyDescent="0.3">
      <c r="A51" s="3" t="s">
        <v>317</v>
      </c>
      <c r="B51" s="4">
        <v>1</v>
      </c>
      <c r="C51" s="3" t="s">
        <v>48</v>
      </c>
      <c r="D51" s="4">
        <v>1</v>
      </c>
      <c r="E51" s="3" t="s">
        <v>139</v>
      </c>
      <c r="F51" s="4">
        <v>1</v>
      </c>
      <c r="G51" s="3" t="s">
        <v>222</v>
      </c>
      <c r="H51" s="4">
        <v>1</v>
      </c>
    </row>
    <row r="52" spans="1:8" x14ac:dyDescent="0.3">
      <c r="A52" s="3" t="s">
        <v>318</v>
      </c>
      <c r="B52" s="4">
        <v>1</v>
      </c>
      <c r="C52" s="3" t="s">
        <v>49</v>
      </c>
      <c r="D52" s="4">
        <v>1</v>
      </c>
      <c r="E52" s="3" t="s">
        <v>140</v>
      </c>
      <c r="F52" s="4">
        <v>1</v>
      </c>
      <c r="G52" s="3" t="s">
        <v>223</v>
      </c>
      <c r="H52" s="4">
        <v>1</v>
      </c>
    </row>
    <row r="53" spans="1:8" x14ac:dyDescent="0.3">
      <c r="A53" s="3" t="s">
        <v>126</v>
      </c>
      <c r="B53" s="4">
        <v>1</v>
      </c>
      <c r="C53" s="3" t="s">
        <v>50</v>
      </c>
      <c r="D53" s="4">
        <v>1</v>
      </c>
      <c r="E53" s="3" t="s">
        <v>141</v>
      </c>
      <c r="F53" s="4">
        <v>1</v>
      </c>
      <c r="G53" s="3" t="s">
        <v>224</v>
      </c>
      <c r="H53" s="4">
        <v>1</v>
      </c>
    </row>
    <row r="54" spans="1:8" x14ac:dyDescent="0.3">
      <c r="A54" s="3" t="s">
        <v>319</v>
      </c>
      <c r="B54" s="4">
        <v>1</v>
      </c>
      <c r="C54" s="3" t="s">
        <v>51</v>
      </c>
      <c r="D54" s="4">
        <v>1</v>
      </c>
      <c r="E54" s="3" t="s">
        <v>142</v>
      </c>
      <c r="F54" s="4">
        <v>1</v>
      </c>
      <c r="G54" s="3" t="s">
        <v>225</v>
      </c>
      <c r="H54" s="4">
        <v>1</v>
      </c>
    </row>
    <row r="55" spans="1:8" x14ac:dyDescent="0.3">
      <c r="A55" s="3" t="s">
        <v>320</v>
      </c>
      <c r="B55" s="4">
        <v>1</v>
      </c>
      <c r="C55" s="3" t="s">
        <v>52</v>
      </c>
      <c r="D55" s="4">
        <v>1</v>
      </c>
      <c r="E55" s="3" t="s">
        <v>143</v>
      </c>
      <c r="F55" s="4">
        <v>1</v>
      </c>
      <c r="G55" s="3" t="s">
        <v>226</v>
      </c>
      <c r="H55" s="4">
        <v>1</v>
      </c>
    </row>
    <row r="56" spans="1:8" x14ac:dyDescent="0.3">
      <c r="A56" s="3" t="s">
        <v>321</v>
      </c>
      <c r="B56" s="4">
        <v>1</v>
      </c>
      <c r="C56" s="3" t="s">
        <v>53</v>
      </c>
      <c r="D56" s="4">
        <v>1</v>
      </c>
      <c r="E56" s="3" t="s">
        <v>144</v>
      </c>
      <c r="F56" s="4">
        <v>1</v>
      </c>
      <c r="G56" s="3" t="s">
        <v>142</v>
      </c>
      <c r="H56" s="4">
        <v>1</v>
      </c>
    </row>
    <row r="57" spans="1:8" x14ac:dyDescent="0.3">
      <c r="A57" s="3" t="s">
        <v>31</v>
      </c>
      <c r="B57" s="4">
        <v>1</v>
      </c>
      <c r="C57" s="3" t="s">
        <v>54</v>
      </c>
      <c r="D57" s="4">
        <v>1</v>
      </c>
      <c r="E57" s="3" t="s">
        <v>8</v>
      </c>
      <c r="F57" s="4">
        <v>1</v>
      </c>
      <c r="G57" s="3" t="s">
        <v>227</v>
      </c>
      <c r="H57" s="4">
        <v>1</v>
      </c>
    </row>
    <row r="58" spans="1:8" x14ac:dyDescent="0.3">
      <c r="A58" s="3" t="s">
        <v>322</v>
      </c>
      <c r="B58" s="4">
        <v>1</v>
      </c>
      <c r="C58" s="3" t="s">
        <v>55</v>
      </c>
      <c r="D58" s="4">
        <v>1</v>
      </c>
      <c r="E58" s="3" t="s">
        <v>47</v>
      </c>
      <c r="F58" s="4">
        <v>1</v>
      </c>
      <c r="G58" s="3" t="s">
        <v>147</v>
      </c>
      <c r="H58" s="4">
        <v>1</v>
      </c>
    </row>
    <row r="59" spans="1:8" x14ac:dyDescent="0.3">
      <c r="A59" s="3" t="s">
        <v>323</v>
      </c>
      <c r="B59" s="4">
        <v>1</v>
      </c>
      <c r="C59" s="3" t="s">
        <v>56</v>
      </c>
      <c r="D59" s="4">
        <v>1</v>
      </c>
      <c r="E59" s="3" t="s">
        <v>145</v>
      </c>
      <c r="F59" s="4">
        <v>1</v>
      </c>
      <c r="G59" s="3" t="s">
        <v>228</v>
      </c>
      <c r="H59" s="4">
        <v>1</v>
      </c>
    </row>
    <row r="60" spans="1:8" x14ac:dyDescent="0.3">
      <c r="A60" s="3" t="s">
        <v>324</v>
      </c>
      <c r="B60" s="4">
        <v>1</v>
      </c>
      <c r="C60" s="3" t="s">
        <v>57</v>
      </c>
      <c r="D60" s="4">
        <v>1</v>
      </c>
      <c r="E60" s="3" t="s">
        <v>146</v>
      </c>
      <c r="F60" s="4">
        <v>1</v>
      </c>
      <c r="G60" s="3" t="s">
        <v>229</v>
      </c>
      <c r="H60" s="4">
        <v>1</v>
      </c>
    </row>
    <row r="61" spans="1:8" x14ac:dyDescent="0.3">
      <c r="A61" s="3" t="s">
        <v>325</v>
      </c>
      <c r="B61" s="4">
        <v>1</v>
      </c>
      <c r="C61" s="3" t="s">
        <v>58</v>
      </c>
      <c r="D61" s="4">
        <v>1</v>
      </c>
      <c r="E61" s="3" t="s">
        <v>147</v>
      </c>
      <c r="F61" s="4">
        <v>1</v>
      </c>
      <c r="G61" s="3" t="s">
        <v>230</v>
      </c>
      <c r="H61" s="4">
        <v>1</v>
      </c>
    </row>
    <row r="62" spans="1:8" x14ac:dyDescent="0.3">
      <c r="A62" s="3" t="s">
        <v>326</v>
      </c>
      <c r="B62" s="4">
        <v>1</v>
      </c>
      <c r="C62" s="3" t="s">
        <v>59</v>
      </c>
      <c r="D62" s="4">
        <v>1</v>
      </c>
      <c r="E62" s="3" t="s">
        <v>148</v>
      </c>
      <c r="F62" s="4">
        <v>1</v>
      </c>
      <c r="G62" s="3" t="s">
        <v>60</v>
      </c>
      <c r="H62" s="4">
        <v>1</v>
      </c>
    </row>
    <row r="63" spans="1:8" x14ac:dyDescent="0.3">
      <c r="A63" s="3" t="s">
        <v>327</v>
      </c>
      <c r="B63" s="4">
        <v>1</v>
      </c>
      <c r="C63" s="3" t="s">
        <v>60</v>
      </c>
      <c r="D63" s="4">
        <v>1</v>
      </c>
      <c r="E63" s="3" t="s">
        <v>149</v>
      </c>
      <c r="F63" s="4">
        <v>1</v>
      </c>
      <c r="G63" s="3" t="s">
        <v>231</v>
      </c>
      <c r="H63" s="4">
        <v>1</v>
      </c>
    </row>
    <row r="64" spans="1:8" x14ac:dyDescent="0.3">
      <c r="A64" s="3" t="s">
        <v>328</v>
      </c>
      <c r="B64" s="4">
        <v>1</v>
      </c>
      <c r="C64" s="3" t="s">
        <v>61</v>
      </c>
      <c r="D64" s="4">
        <v>1</v>
      </c>
      <c r="E64" s="3" t="s">
        <v>52</v>
      </c>
      <c r="F64" s="4">
        <v>1</v>
      </c>
      <c r="G64" s="3" t="s">
        <v>232</v>
      </c>
      <c r="H64" s="4">
        <v>1</v>
      </c>
    </row>
    <row r="65" spans="1:8" x14ac:dyDescent="0.3">
      <c r="A65" s="3" t="s">
        <v>329</v>
      </c>
      <c r="B65" s="4">
        <v>1</v>
      </c>
      <c r="C65" s="3" t="s">
        <v>62</v>
      </c>
      <c r="D65" s="4">
        <v>1</v>
      </c>
      <c r="E65" s="3" t="s">
        <v>150</v>
      </c>
      <c r="F65" s="4">
        <v>1</v>
      </c>
      <c r="G65" s="3" t="s">
        <v>233</v>
      </c>
      <c r="H65" s="4">
        <v>1</v>
      </c>
    </row>
    <row r="66" spans="1:8" x14ac:dyDescent="0.3">
      <c r="A66" s="3" t="s">
        <v>330</v>
      </c>
      <c r="B66" s="4">
        <v>1</v>
      </c>
      <c r="C66" s="3" t="s">
        <v>63</v>
      </c>
      <c r="D66" s="4">
        <v>1</v>
      </c>
      <c r="E66" s="3" t="s">
        <v>151</v>
      </c>
      <c r="F66" s="4">
        <v>1</v>
      </c>
      <c r="G66" s="3" t="s">
        <v>234</v>
      </c>
      <c r="H66" s="4">
        <v>1</v>
      </c>
    </row>
    <row r="67" spans="1:8" x14ac:dyDescent="0.3">
      <c r="A67" s="3" t="s">
        <v>217</v>
      </c>
      <c r="B67" s="4">
        <v>1</v>
      </c>
      <c r="C67" s="3" t="s">
        <v>64</v>
      </c>
      <c r="D67" s="4">
        <v>1</v>
      </c>
      <c r="E67" s="3" t="s">
        <v>152</v>
      </c>
      <c r="F67" s="4">
        <v>1</v>
      </c>
      <c r="G67" s="3" t="s">
        <v>235</v>
      </c>
      <c r="H67" s="4">
        <v>1</v>
      </c>
    </row>
    <row r="68" spans="1:8" x14ac:dyDescent="0.3">
      <c r="A68" s="3" t="s">
        <v>331</v>
      </c>
      <c r="B68" s="4">
        <v>1</v>
      </c>
      <c r="C68" s="3" t="s">
        <v>65</v>
      </c>
      <c r="D68" s="4">
        <v>1</v>
      </c>
      <c r="E68" s="3" t="s">
        <v>153</v>
      </c>
      <c r="F68" s="4">
        <v>1</v>
      </c>
      <c r="G68" s="3" t="s">
        <v>236</v>
      </c>
      <c r="H68" s="4">
        <v>1</v>
      </c>
    </row>
    <row r="69" spans="1:8" x14ac:dyDescent="0.3">
      <c r="A69" s="3" t="s">
        <v>332</v>
      </c>
      <c r="B69" s="4">
        <v>1</v>
      </c>
      <c r="C69" s="3" t="s">
        <v>66</v>
      </c>
      <c r="D69" s="4">
        <v>1</v>
      </c>
      <c r="E69" s="3" t="s">
        <v>54</v>
      </c>
      <c r="F69" s="4">
        <v>1</v>
      </c>
      <c r="G69" s="3" t="s">
        <v>237</v>
      </c>
      <c r="H69" s="4">
        <v>1</v>
      </c>
    </row>
    <row r="70" spans="1:8" x14ac:dyDescent="0.3">
      <c r="A70" s="3" t="s">
        <v>333</v>
      </c>
      <c r="B70" s="4">
        <v>1</v>
      </c>
      <c r="C70" s="3" t="s">
        <v>67</v>
      </c>
      <c r="D70" s="4">
        <v>1</v>
      </c>
      <c r="E70" s="3" t="s">
        <v>154</v>
      </c>
      <c r="F70" s="4">
        <v>1</v>
      </c>
      <c r="G70" s="3" t="s">
        <v>238</v>
      </c>
      <c r="H70" s="4">
        <v>1</v>
      </c>
    </row>
    <row r="71" spans="1:8" x14ac:dyDescent="0.3">
      <c r="A71" s="3" t="s">
        <v>334</v>
      </c>
      <c r="B71" s="4">
        <v>1</v>
      </c>
      <c r="C71" s="3" t="s">
        <v>68</v>
      </c>
      <c r="D71" s="4">
        <v>1</v>
      </c>
      <c r="E71" s="3" t="s">
        <v>155</v>
      </c>
      <c r="F71" s="4">
        <v>1</v>
      </c>
      <c r="G71" s="3" t="s">
        <v>239</v>
      </c>
      <c r="H71" s="4">
        <v>1</v>
      </c>
    </row>
    <row r="72" spans="1:8" x14ac:dyDescent="0.3">
      <c r="A72" s="3" t="s">
        <v>335</v>
      </c>
      <c r="B72" s="4">
        <v>1</v>
      </c>
      <c r="C72" s="3" t="s">
        <v>69</v>
      </c>
      <c r="D72" s="4">
        <v>1</v>
      </c>
      <c r="E72" s="3" t="s">
        <v>156</v>
      </c>
      <c r="F72" s="4">
        <v>1</v>
      </c>
      <c r="G72" s="3" t="s">
        <v>240</v>
      </c>
      <c r="H72" s="4">
        <v>1</v>
      </c>
    </row>
    <row r="73" spans="1:8" x14ac:dyDescent="0.3">
      <c r="A73" s="3" t="s">
        <v>336</v>
      </c>
      <c r="B73" s="4">
        <v>1</v>
      </c>
      <c r="C73" s="3" t="s">
        <v>70</v>
      </c>
      <c r="D73" s="4">
        <v>1</v>
      </c>
      <c r="E73" s="3" t="s">
        <v>157</v>
      </c>
      <c r="F73" s="4">
        <v>1</v>
      </c>
      <c r="G73" s="3" t="s">
        <v>241</v>
      </c>
      <c r="H73" s="4">
        <v>1</v>
      </c>
    </row>
    <row r="74" spans="1:8" x14ac:dyDescent="0.3">
      <c r="A74" s="3" t="s">
        <v>337</v>
      </c>
      <c r="B74" s="4">
        <v>1</v>
      </c>
      <c r="C74" s="3" t="s">
        <v>71</v>
      </c>
      <c r="D74" s="4">
        <v>1</v>
      </c>
      <c r="E74" s="3" t="s">
        <v>158</v>
      </c>
      <c r="F74" s="4">
        <v>1</v>
      </c>
      <c r="G74" s="3" t="s">
        <v>242</v>
      </c>
      <c r="H74" s="4">
        <v>1</v>
      </c>
    </row>
    <row r="75" spans="1:8" x14ac:dyDescent="0.3">
      <c r="A75" s="3" t="s">
        <v>44</v>
      </c>
      <c r="B75" s="4">
        <v>1</v>
      </c>
      <c r="C75" s="3" t="s">
        <v>72</v>
      </c>
      <c r="D75" s="4">
        <v>1</v>
      </c>
      <c r="E75" s="3" t="s">
        <v>61</v>
      </c>
      <c r="F75" s="4">
        <v>1</v>
      </c>
      <c r="G75" s="3" t="s">
        <v>243</v>
      </c>
      <c r="H75" s="4">
        <v>1</v>
      </c>
    </row>
    <row r="76" spans="1:8" x14ac:dyDescent="0.3">
      <c r="A76" s="3" t="s">
        <v>45</v>
      </c>
      <c r="B76" s="4">
        <v>1</v>
      </c>
      <c r="C76" s="3" t="s">
        <v>73</v>
      </c>
      <c r="D76" s="4">
        <v>1</v>
      </c>
      <c r="E76" s="3" t="s">
        <v>159</v>
      </c>
      <c r="F76" s="4">
        <v>1</v>
      </c>
      <c r="G76" s="3" t="s">
        <v>244</v>
      </c>
      <c r="H76" s="4">
        <v>1</v>
      </c>
    </row>
    <row r="77" spans="1:8" x14ac:dyDescent="0.3">
      <c r="A77" s="3" t="s">
        <v>338</v>
      </c>
      <c r="B77" s="4">
        <v>1</v>
      </c>
      <c r="C77" s="3" t="s">
        <v>74</v>
      </c>
      <c r="D77" s="4">
        <v>1</v>
      </c>
      <c r="E77" s="3" t="s">
        <v>160</v>
      </c>
      <c r="F77" s="4">
        <v>1</v>
      </c>
      <c r="G77" s="3" t="s">
        <v>245</v>
      </c>
      <c r="H77" s="4">
        <v>1</v>
      </c>
    </row>
    <row r="78" spans="1:8" x14ac:dyDescent="0.3">
      <c r="A78" s="3" t="s">
        <v>339</v>
      </c>
      <c r="B78" s="4">
        <v>1</v>
      </c>
      <c r="C78" s="3" t="s">
        <v>75</v>
      </c>
      <c r="D78" s="4">
        <v>1</v>
      </c>
      <c r="E78" s="3" t="s">
        <v>65</v>
      </c>
      <c r="F78" s="4">
        <v>1</v>
      </c>
      <c r="G78" s="3" t="s">
        <v>246</v>
      </c>
      <c r="H78" s="4">
        <v>1</v>
      </c>
    </row>
    <row r="79" spans="1:8" x14ac:dyDescent="0.3">
      <c r="A79" s="3" t="s">
        <v>340</v>
      </c>
      <c r="B79" s="4">
        <v>1</v>
      </c>
      <c r="C79" s="3" t="s">
        <v>76</v>
      </c>
      <c r="D79" s="4">
        <v>1</v>
      </c>
      <c r="E79" s="3" t="s">
        <v>19</v>
      </c>
      <c r="F79" s="4">
        <v>1</v>
      </c>
      <c r="G79" s="3" t="s">
        <v>247</v>
      </c>
      <c r="H79" s="4">
        <v>1</v>
      </c>
    </row>
    <row r="80" spans="1:8" x14ac:dyDescent="0.3">
      <c r="A80" s="3" t="s">
        <v>341</v>
      </c>
      <c r="B80" s="4">
        <v>1</v>
      </c>
      <c r="C80" s="3" t="s">
        <v>77</v>
      </c>
      <c r="D80" s="4">
        <v>1</v>
      </c>
      <c r="E80" s="3" t="s">
        <v>161</v>
      </c>
      <c r="F80" s="4">
        <v>1</v>
      </c>
      <c r="G80" s="3" t="s">
        <v>248</v>
      </c>
      <c r="H80" s="4">
        <v>1</v>
      </c>
    </row>
    <row r="81" spans="1:8" x14ac:dyDescent="0.3">
      <c r="A81" s="3" t="s">
        <v>342</v>
      </c>
      <c r="B81" s="4">
        <v>1</v>
      </c>
      <c r="C81" s="3" t="s">
        <v>78</v>
      </c>
      <c r="D81" s="4">
        <v>1</v>
      </c>
      <c r="E81" s="3" t="s">
        <v>74</v>
      </c>
      <c r="F81" s="4">
        <v>1</v>
      </c>
      <c r="G81" s="3" t="s">
        <v>249</v>
      </c>
      <c r="H81" s="4">
        <v>1</v>
      </c>
    </row>
    <row r="82" spans="1:8" x14ac:dyDescent="0.3">
      <c r="A82" s="3" t="s">
        <v>343</v>
      </c>
      <c r="B82" s="4">
        <v>1</v>
      </c>
      <c r="C82" s="3" t="s">
        <v>79</v>
      </c>
      <c r="D82" s="4">
        <v>1</v>
      </c>
      <c r="E82" s="3" t="s">
        <v>162</v>
      </c>
      <c r="F82" s="4">
        <v>1</v>
      </c>
      <c r="G82" s="3" t="s">
        <v>250</v>
      </c>
      <c r="H82" s="4">
        <v>1</v>
      </c>
    </row>
    <row r="83" spans="1:8" x14ac:dyDescent="0.3">
      <c r="A83" s="3" t="s">
        <v>344</v>
      </c>
      <c r="B83" s="4">
        <v>1</v>
      </c>
      <c r="C83" s="3" t="s">
        <v>80</v>
      </c>
      <c r="D83" s="4">
        <v>1</v>
      </c>
      <c r="E83" s="3" t="s">
        <v>163</v>
      </c>
      <c r="F83" s="4">
        <v>1</v>
      </c>
      <c r="G83" s="3" t="s">
        <v>251</v>
      </c>
      <c r="H83" s="4">
        <v>1</v>
      </c>
    </row>
    <row r="84" spans="1:8" x14ac:dyDescent="0.3">
      <c r="A84" s="3" t="s">
        <v>17</v>
      </c>
      <c r="B84" s="4">
        <v>1</v>
      </c>
      <c r="C84" s="3" t="s">
        <v>81</v>
      </c>
      <c r="D84" s="4">
        <v>1</v>
      </c>
      <c r="E84" s="3" t="s">
        <v>164</v>
      </c>
      <c r="F84" s="4">
        <v>1</v>
      </c>
      <c r="G84" s="3" t="s">
        <v>252</v>
      </c>
      <c r="H84" s="4">
        <v>1</v>
      </c>
    </row>
    <row r="85" spans="1:8" x14ac:dyDescent="0.3">
      <c r="A85" s="3" t="s">
        <v>59</v>
      </c>
      <c r="B85" s="4">
        <v>1</v>
      </c>
      <c r="C85" s="3" t="s">
        <v>82</v>
      </c>
      <c r="D85" s="4">
        <v>1</v>
      </c>
      <c r="E85" s="3" t="s">
        <v>77</v>
      </c>
      <c r="F85" s="4">
        <v>1</v>
      </c>
      <c r="G85" s="3" t="s">
        <v>253</v>
      </c>
      <c r="H85" s="4">
        <v>1</v>
      </c>
    </row>
    <row r="86" spans="1:8" x14ac:dyDescent="0.3">
      <c r="A86" s="3" t="s">
        <v>345</v>
      </c>
      <c r="B86" s="4">
        <v>1</v>
      </c>
      <c r="C86" s="3" t="s">
        <v>83</v>
      </c>
      <c r="D86" s="4">
        <v>1</v>
      </c>
      <c r="E86" s="3" t="s">
        <v>165</v>
      </c>
      <c r="F86" s="4">
        <v>1</v>
      </c>
      <c r="G86" s="3" t="s">
        <v>254</v>
      </c>
      <c r="H86" s="4">
        <v>1</v>
      </c>
    </row>
    <row r="87" spans="1:8" x14ac:dyDescent="0.3">
      <c r="A87" s="3" t="s">
        <v>346</v>
      </c>
      <c r="B87" s="4">
        <v>1</v>
      </c>
      <c r="C87" s="3" t="s">
        <v>84</v>
      </c>
      <c r="D87" s="4">
        <v>1</v>
      </c>
      <c r="E87" s="3" t="s">
        <v>166</v>
      </c>
      <c r="F87" s="4">
        <v>1</v>
      </c>
      <c r="G87" s="3" t="s">
        <v>255</v>
      </c>
      <c r="H87" s="4">
        <v>1</v>
      </c>
    </row>
    <row r="88" spans="1:8" x14ac:dyDescent="0.3">
      <c r="A88" s="3" t="s">
        <v>18</v>
      </c>
      <c r="B88" s="4">
        <v>1</v>
      </c>
      <c r="C88" s="3" t="s">
        <v>85</v>
      </c>
      <c r="D88" s="4">
        <v>1</v>
      </c>
      <c r="E88" s="3" t="s">
        <v>167</v>
      </c>
      <c r="F88" s="4">
        <v>1</v>
      </c>
      <c r="G88" s="3" t="s">
        <v>256</v>
      </c>
      <c r="H88" s="4">
        <v>1</v>
      </c>
    </row>
    <row r="89" spans="1:8" x14ac:dyDescent="0.3">
      <c r="A89" s="3" t="s">
        <v>61</v>
      </c>
      <c r="B89" s="4">
        <v>1</v>
      </c>
      <c r="C89" s="3" t="s">
        <v>86</v>
      </c>
      <c r="D89" s="4">
        <v>1</v>
      </c>
      <c r="E89" s="3" t="s">
        <v>168</v>
      </c>
      <c r="F89" s="4">
        <v>1</v>
      </c>
      <c r="G89" s="3" t="s">
        <v>257</v>
      </c>
      <c r="H89" s="4">
        <v>1</v>
      </c>
    </row>
    <row r="90" spans="1:8" x14ac:dyDescent="0.3">
      <c r="A90" s="3" t="s">
        <v>347</v>
      </c>
      <c r="B90" s="4">
        <v>1</v>
      </c>
      <c r="C90" s="3" t="s">
        <v>87</v>
      </c>
      <c r="D90" s="4">
        <v>1</v>
      </c>
      <c r="E90" s="3" t="s">
        <v>169</v>
      </c>
      <c r="F90" s="4">
        <v>1</v>
      </c>
      <c r="G90" s="3" t="s">
        <v>258</v>
      </c>
      <c r="H90" s="4">
        <v>1</v>
      </c>
    </row>
    <row r="91" spans="1:8" x14ac:dyDescent="0.3">
      <c r="A91" s="3" t="s">
        <v>348</v>
      </c>
      <c r="B91" s="4">
        <v>1</v>
      </c>
      <c r="C91" s="3" t="s">
        <v>88</v>
      </c>
      <c r="D91" s="4">
        <v>1</v>
      </c>
      <c r="E91" s="3" t="s">
        <v>170</v>
      </c>
      <c r="F91" s="4">
        <v>1</v>
      </c>
      <c r="G91" s="3" t="s">
        <v>88</v>
      </c>
      <c r="H91" s="4">
        <v>1</v>
      </c>
    </row>
    <row r="92" spans="1:8" x14ac:dyDescent="0.3">
      <c r="A92" s="3" t="s">
        <v>349</v>
      </c>
      <c r="B92" s="4">
        <v>1</v>
      </c>
      <c r="C92" s="3" t="s">
        <v>89</v>
      </c>
      <c r="D92" s="4">
        <v>1</v>
      </c>
      <c r="E92" s="3" t="s">
        <v>88</v>
      </c>
      <c r="F92" s="4">
        <v>1</v>
      </c>
      <c r="G92" s="3" t="s">
        <v>259</v>
      </c>
      <c r="H92" s="4">
        <v>1</v>
      </c>
    </row>
    <row r="93" spans="1:8" x14ac:dyDescent="0.3">
      <c r="A93" s="3" t="s">
        <v>350</v>
      </c>
      <c r="B93" s="4">
        <v>1</v>
      </c>
      <c r="C93" s="3" t="s">
        <v>90</v>
      </c>
      <c r="D93" s="4">
        <v>1</v>
      </c>
      <c r="E93" s="3" t="s">
        <v>171</v>
      </c>
      <c r="F93" s="4">
        <v>1</v>
      </c>
      <c r="G93" s="3" t="s">
        <v>260</v>
      </c>
      <c r="H93" s="4">
        <v>1</v>
      </c>
    </row>
    <row r="94" spans="1:8" x14ac:dyDescent="0.3">
      <c r="A94" s="3" t="s">
        <v>62</v>
      </c>
      <c r="B94" s="4">
        <v>1</v>
      </c>
      <c r="C94" s="3" t="s">
        <v>91</v>
      </c>
      <c r="D94" s="4">
        <v>1</v>
      </c>
      <c r="E94" s="3" t="s">
        <v>172</v>
      </c>
      <c r="F94" s="4">
        <v>1</v>
      </c>
      <c r="G94" s="3" t="s">
        <v>261</v>
      </c>
      <c r="H94" s="4">
        <v>1</v>
      </c>
    </row>
    <row r="95" spans="1:8" x14ac:dyDescent="0.3">
      <c r="A95" s="3" t="s">
        <v>1</v>
      </c>
      <c r="B95" s="4">
        <v>1</v>
      </c>
      <c r="C95" s="3" t="s">
        <v>92</v>
      </c>
      <c r="D95" s="4">
        <v>1</v>
      </c>
      <c r="E95" s="3" t="s">
        <v>173</v>
      </c>
      <c r="F95" s="4">
        <v>1</v>
      </c>
      <c r="G95" s="3" t="s">
        <v>262</v>
      </c>
      <c r="H95" s="4">
        <v>1</v>
      </c>
    </row>
    <row r="96" spans="1:8" x14ac:dyDescent="0.3">
      <c r="A96" s="3" t="s">
        <v>351</v>
      </c>
      <c r="B96" s="4">
        <v>1</v>
      </c>
      <c r="C96" s="3" t="s">
        <v>93</v>
      </c>
      <c r="D96" s="4">
        <v>1</v>
      </c>
      <c r="E96" s="3" t="s">
        <v>174</v>
      </c>
      <c r="F96" s="4">
        <v>1</v>
      </c>
      <c r="G96" s="3" t="s">
        <v>263</v>
      </c>
      <c r="H96" s="4">
        <v>1</v>
      </c>
    </row>
    <row r="97" spans="1:8" x14ac:dyDescent="0.3">
      <c r="A97" s="3" t="s">
        <v>352</v>
      </c>
      <c r="B97" s="4">
        <v>1</v>
      </c>
      <c r="C97" s="3" t="s">
        <v>94</v>
      </c>
      <c r="D97" s="4">
        <v>1</v>
      </c>
      <c r="E97" s="3" t="s">
        <v>175</v>
      </c>
      <c r="F97" s="4">
        <v>1</v>
      </c>
      <c r="G97" s="3" t="s">
        <v>264</v>
      </c>
      <c r="H97" s="4">
        <v>1</v>
      </c>
    </row>
    <row r="98" spans="1:8" x14ac:dyDescent="0.3">
      <c r="A98" s="3" t="s">
        <v>74</v>
      </c>
      <c r="B98" s="4">
        <v>1</v>
      </c>
      <c r="C98" s="3" t="s">
        <v>95</v>
      </c>
      <c r="D98" s="4">
        <v>1</v>
      </c>
      <c r="E98" s="3" t="s">
        <v>176</v>
      </c>
      <c r="F98" s="4">
        <v>1</v>
      </c>
      <c r="G98" s="3" t="s">
        <v>265</v>
      </c>
      <c r="H98" s="4">
        <v>1</v>
      </c>
    </row>
    <row r="99" spans="1:8" x14ac:dyDescent="0.3">
      <c r="A99" s="3" t="s">
        <v>353</v>
      </c>
      <c r="B99" s="4">
        <v>1</v>
      </c>
      <c r="C99" s="3" t="s">
        <v>96</v>
      </c>
      <c r="D99" s="4">
        <v>1</v>
      </c>
      <c r="E99" s="3" t="s">
        <v>177</v>
      </c>
      <c r="F99" s="4">
        <v>1</v>
      </c>
      <c r="G99" s="3" t="s">
        <v>266</v>
      </c>
      <c r="H99" s="4">
        <v>1</v>
      </c>
    </row>
    <row r="100" spans="1:8" x14ac:dyDescent="0.3">
      <c r="A100" s="3" t="s">
        <v>354</v>
      </c>
      <c r="B100" s="4">
        <v>1</v>
      </c>
      <c r="C100" s="3" t="s">
        <v>87</v>
      </c>
      <c r="D100" s="4">
        <v>1</v>
      </c>
      <c r="E100" s="3" t="s">
        <v>178</v>
      </c>
      <c r="F100" s="4">
        <v>1</v>
      </c>
      <c r="G100" s="3" t="s">
        <v>267</v>
      </c>
      <c r="H100" s="4">
        <v>1</v>
      </c>
    </row>
    <row r="101" spans="1:8" x14ac:dyDescent="0.3">
      <c r="A101" s="3" t="s">
        <v>355</v>
      </c>
      <c r="B101" s="4">
        <v>1</v>
      </c>
      <c r="C101" s="3"/>
      <c r="D101" s="3"/>
      <c r="E101" s="3" t="s">
        <v>179</v>
      </c>
      <c r="F101" s="4">
        <v>1</v>
      </c>
      <c r="G101" s="3" t="s">
        <v>268</v>
      </c>
      <c r="H101" s="4">
        <v>1</v>
      </c>
    </row>
    <row r="102" spans="1:8" x14ac:dyDescent="0.3">
      <c r="A102" s="3" t="s">
        <v>356</v>
      </c>
      <c r="B102" s="4">
        <v>1</v>
      </c>
      <c r="C102" s="3"/>
      <c r="D102" s="3"/>
      <c r="E102" s="3" t="s">
        <v>180</v>
      </c>
      <c r="F102" s="4">
        <v>1</v>
      </c>
      <c r="G102" s="3" t="s">
        <v>269</v>
      </c>
      <c r="H102" s="4">
        <v>1</v>
      </c>
    </row>
    <row r="103" spans="1:8" x14ac:dyDescent="0.3">
      <c r="A103" s="3" t="s">
        <v>357</v>
      </c>
      <c r="B103" s="4">
        <v>1</v>
      </c>
      <c r="C103" s="3"/>
      <c r="D103" s="3"/>
      <c r="E103" s="3" t="s">
        <v>181</v>
      </c>
      <c r="F103" s="4">
        <v>1</v>
      </c>
      <c r="G103" s="3" t="s">
        <v>270</v>
      </c>
      <c r="H103" s="4">
        <v>1</v>
      </c>
    </row>
    <row r="104" spans="1:8" x14ac:dyDescent="0.3">
      <c r="A104" s="3" t="s">
        <v>358</v>
      </c>
      <c r="B104" s="4">
        <v>1</v>
      </c>
      <c r="C104" s="3"/>
      <c r="D104" s="3"/>
      <c r="E104" s="3" t="s">
        <v>182</v>
      </c>
      <c r="F104" s="4">
        <v>1</v>
      </c>
      <c r="G104" s="3" t="s">
        <v>271</v>
      </c>
      <c r="H104" s="4">
        <v>1</v>
      </c>
    </row>
    <row r="105" spans="1:8" x14ac:dyDescent="0.3">
      <c r="A105" s="3" t="s">
        <v>359</v>
      </c>
      <c r="B105" s="4">
        <v>1</v>
      </c>
      <c r="C105" s="3"/>
      <c r="D105" s="3"/>
      <c r="E105" s="3" t="s">
        <v>183</v>
      </c>
      <c r="F105" s="4">
        <v>1</v>
      </c>
      <c r="G105" s="3" t="s">
        <v>3</v>
      </c>
      <c r="H105" s="4">
        <v>1</v>
      </c>
    </row>
    <row r="106" spans="1:8" x14ac:dyDescent="0.3">
      <c r="A106" s="3" t="s">
        <v>171</v>
      </c>
      <c r="B106" s="4">
        <v>1</v>
      </c>
      <c r="C106" s="3"/>
      <c r="D106" s="3"/>
      <c r="E106" s="3" t="s">
        <v>184</v>
      </c>
      <c r="F106" s="4">
        <v>1</v>
      </c>
      <c r="G106" s="3" t="s">
        <v>272</v>
      </c>
      <c r="H106" s="4">
        <v>1</v>
      </c>
    </row>
    <row r="107" spans="1:8" x14ac:dyDescent="0.3">
      <c r="A107" s="3" t="s">
        <v>360</v>
      </c>
      <c r="B107" s="4">
        <v>1</v>
      </c>
      <c r="C107" s="3"/>
      <c r="D107" s="3"/>
      <c r="E107" s="3" t="s">
        <v>185</v>
      </c>
      <c r="F107" s="4">
        <v>1</v>
      </c>
      <c r="G107" s="3" t="s">
        <v>273</v>
      </c>
      <c r="H107" s="4">
        <v>1</v>
      </c>
    </row>
    <row r="108" spans="1:8" x14ac:dyDescent="0.3">
      <c r="A108" s="3" t="s">
        <v>102</v>
      </c>
      <c r="B108" s="4">
        <v>1</v>
      </c>
      <c r="C108" s="3"/>
      <c r="D108" s="3"/>
      <c r="E108" s="3" t="s">
        <v>92</v>
      </c>
      <c r="F108" s="4">
        <v>1</v>
      </c>
      <c r="G108" s="3" t="s">
        <v>274</v>
      </c>
      <c r="H108" s="4">
        <v>1</v>
      </c>
    </row>
    <row r="109" spans="1:8" x14ac:dyDescent="0.3">
      <c r="A109" s="3" t="s">
        <v>2</v>
      </c>
      <c r="B109" s="4">
        <v>1</v>
      </c>
      <c r="C109" s="3"/>
      <c r="D109" s="3"/>
      <c r="E109" s="3" t="s">
        <v>186</v>
      </c>
      <c r="F109" s="4">
        <v>1</v>
      </c>
      <c r="G109" s="3" t="s">
        <v>374</v>
      </c>
      <c r="H109" s="4">
        <v>1</v>
      </c>
    </row>
    <row r="110" spans="1:8" x14ac:dyDescent="0.3">
      <c r="A110" s="3" t="s">
        <v>361</v>
      </c>
      <c r="B110" s="4">
        <v>1</v>
      </c>
      <c r="C110" s="3"/>
      <c r="D110" s="3"/>
      <c r="E110" s="3" t="s">
        <v>187</v>
      </c>
      <c r="F110" s="4">
        <v>1</v>
      </c>
      <c r="G110" s="3" t="s">
        <v>89</v>
      </c>
      <c r="H110" s="4">
        <v>1</v>
      </c>
    </row>
    <row r="111" spans="1:8" x14ac:dyDescent="0.3">
      <c r="A111" s="3" t="s">
        <v>362</v>
      </c>
      <c r="B111" s="4">
        <v>1</v>
      </c>
      <c r="C111" s="3"/>
      <c r="D111" s="3"/>
      <c r="E111" s="3" t="s">
        <v>188</v>
      </c>
      <c r="F111" s="4">
        <v>1</v>
      </c>
      <c r="G111" s="3" t="s">
        <v>375</v>
      </c>
      <c r="H111" s="4">
        <v>1</v>
      </c>
    </row>
    <row r="112" spans="1:8" x14ac:dyDescent="0.3">
      <c r="A112" s="3" t="s">
        <v>363</v>
      </c>
      <c r="B112" s="4">
        <v>1</v>
      </c>
      <c r="C112" s="3"/>
      <c r="D112" s="3"/>
      <c r="E112" s="3" t="s">
        <v>189</v>
      </c>
      <c r="F112" s="4">
        <v>1</v>
      </c>
      <c r="G112" s="3"/>
      <c r="H112" s="3"/>
    </row>
    <row r="113" spans="1:8" x14ac:dyDescent="0.3">
      <c r="A113" s="3" t="s">
        <v>364</v>
      </c>
      <c r="B113" s="4">
        <v>1</v>
      </c>
      <c r="C113" s="3"/>
      <c r="D113" s="3"/>
      <c r="E113" s="3"/>
      <c r="F113" s="3"/>
      <c r="G113" s="3"/>
      <c r="H113" s="3"/>
    </row>
    <row r="114" spans="1:8" x14ac:dyDescent="0.3">
      <c r="A114" s="3" t="s">
        <v>365</v>
      </c>
      <c r="B114" s="4">
        <v>1</v>
      </c>
      <c r="C114" s="3"/>
      <c r="D114" s="3"/>
      <c r="E114" s="3"/>
      <c r="F114" s="3"/>
      <c r="G114" s="3"/>
      <c r="H114" s="3"/>
    </row>
    <row r="115" spans="1:8" x14ac:dyDescent="0.3">
      <c r="A115" s="3" t="s">
        <v>366</v>
      </c>
      <c r="B115" s="4">
        <v>1</v>
      </c>
      <c r="C115" s="3"/>
      <c r="D115" s="3"/>
      <c r="E115" s="3"/>
      <c r="F115" s="3"/>
      <c r="G115" s="3"/>
      <c r="H115" s="3"/>
    </row>
    <row r="116" spans="1:8" x14ac:dyDescent="0.3">
      <c r="A116" s="3" t="s">
        <v>367</v>
      </c>
      <c r="B116" s="4">
        <v>1</v>
      </c>
      <c r="C116" s="3"/>
      <c r="D116" s="3"/>
      <c r="E116" s="3"/>
      <c r="F116" s="3"/>
      <c r="G116" s="3"/>
      <c r="H116" s="3"/>
    </row>
    <row r="117" spans="1:8" x14ac:dyDescent="0.3">
      <c r="A117" s="3" t="s">
        <v>93</v>
      </c>
      <c r="B117" s="4">
        <v>1</v>
      </c>
      <c r="C117" s="3"/>
      <c r="D117" s="3"/>
      <c r="E117" s="3"/>
      <c r="F117" s="3"/>
      <c r="G117" s="3"/>
      <c r="H117" s="3"/>
    </row>
    <row r="118" spans="1:8" x14ac:dyDescent="0.3">
      <c r="A118" s="3" t="s">
        <v>368</v>
      </c>
      <c r="B118" s="4">
        <v>1</v>
      </c>
      <c r="C118" s="3"/>
      <c r="D118" s="3"/>
      <c r="E118" s="3"/>
      <c r="F118" s="3"/>
      <c r="G118" s="3"/>
      <c r="H118" s="3"/>
    </row>
    <row r="119" spans="1:8" x14ac:dyDescent="0.3">
      <c r="A119" s="3" t="s">
        <v>373</v>
      </c>
      <c r="B119" s="4">
        <v>1</v>
      </c>
      <c r="C119" s="3"/>
      <c r="D119" s="3"/>
      <c r="E119" s="3"/>
      <c r="F119" s="3"/>
      <c r="G119" s="3"/>
      <c r="H119" s="3"/>
    </row>
    <row r="120" spans="1:8" x14ac:dyDescent="0.3">
      <c r="A120" s="3" t="s">
        <v>369</v>
      </c>
      <c r="B120" s="4">
        <v>1</v>
      </c>
      <c r="C120" s="3"/>
      <c r="D120" s="3"/>
      <c r="E120" s="3"/>
      <c r="F120" s="3"/>
      <c r="G120" s="3"/>
      <c r="H120" s="3"/>
    </row>
    <row r="121" spans="1:8" x14ac:dyDescent="0.3">
      <c r="A121" s="3" t="s">
        <v>370</v>
      </c>
      <c r="B121" s="4">
        <v>1</v>
      </c>
      <c r="C121" s="3"/>
      <c r="D121" s="3"/>
      <c r="E121" s="3"/>
      <c r="F121" s="3"/>
      <c r="G121" s="3"/>
      <c r="H121" s="3"/>
    </row>
    <row r="122" spans="1:8" x14ac:dyDescent="0.3">
      <c r="A122" s="3" t="s">
        <v>371</v>
      </c>
      <c r="B122" s="4">
        <v>1</v>
      </c>
      <c r="C122" s="3"/>
      <c r="D122" s="3"/>
      <c r="E122" s="3"/>
      <c r="F122" s="3"/>
      <c r="G122" s="3"/>
      <c r="H122" s="3"/>
    </row>
    <row r="123" spans="1:8" x14ac:dyDescent="0.3">
      <c r="A123" s="3" t="s">
        <v>372</v>
      </c>
      <c r="B123" s="4">
        <v>1</v>
      </c>
      <c r="C123" s="3"/>
      <c r="D123" s="3"/>
      <c r="E123" s="3"/>
      <c r="F123" s="3"/>
      <c r="G123" s="3"/>
      <c r="H123" s="3"/>
    </row>
  </sheetData>
  <mergeCells count="4">
    <mergeCell ref="C1:D1"/>
    <mergeCell ref="E1:F1"/>
    <mergeCell ref="G1:H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A4CE3-8F49-4FE0-8ACF-D327F3DBD2EA}">
  <sheetPr>
    <tabColor theme="5"/>
  </sheetPr>
  <dimension ref="B1:I33"/>
  <sheetViews>
    <sheetView workbookViewId="0">
      <selection activeCell="N12" sqref="N12"/>
    </sheetView>
  </sheetViews>
  <sheetFormatPr defaultColWidth="8.88671875" defaultRowHeight="14.4" x14ac:dyDescent="0.3"/>
  <cols>
    <col min="1" max="1" width="11" customWidth="1"/>
    <col min="2" max="2" width="5.88671875" customWidth="1"/>
    <col min="3" max="3" width="23.44140625" customWidth="1"/>
    <col min="4" max="4" width="19.88671875" customWidth="1"/>
    <col min="5" max="5" width="16.33203125" style="30" customWidth="1"/>
    <col min="6" max="6" width="9.6640625" bestFit="1" customWidth="1"/>
    <col min="7" max="7" width="10.6640625" bestFit="1" customWidth="1"/>
    <col min="8" max="8" width="36.44140625" customWidth="1"/>
    <col min="14" max="18" width="11" customWidth="1"/>
    <col min="19" max="19" width="11.109375" customWidth="1"/>
  </cols>
  <sheetData>
    <row r="1" spans="2:9" x14ac:dyDescent="0.3">
      <c r="B1" s="27" t="s">
        <v>766</v>
      </c>
      <c r="C1" s="27" t="s">
        <v>767</v>
      </c>
      <c r="D1" s="27" t="s">
        <v>768</v>
      </c>
      <c r="E1" s="28" t="s">
        <v>769</v>
      </c>
      <c r="F1" s="39" t="s">
        <v>816</v>
      </c>
    </row>
    <row r="2" spans="2:9" ht="15" customHeight="1" x14ac:dyDescent="0.3">
      <c r="B2" s="29">
        <v>1</v>
      </c>
      <c r="C2" s="29" t="s">
        <v>770</v>
      </c>
      <c r="D2" s="29" t="s">
        <v>771</v>
      </c>
      <c r="E2" s="29">
        <v>1986</v>
      </c>
      <c r="F2" s="29">
        <f>2025-E2</f>
        <v>39</v>
      </c>
      <c r="H2" s="30"/>
    </row>
    <row r="3" spans="2:9" x14ac:dyDescent="0.3">
      <c r="B3" s="29">
        <v>2</v>
      </c>
      <c r="C3" s="29" t="s">
        <v>772</v>
      </c>
      <c r="D3" s="29" t="s">
        <v>771</v>
      </c>
      <c r="E3" s="29">
        <v>2000</v>
      </c>
      <c r="F3" s="29">
        <f t="shared" ref="F3:F33" si="0">2025-E3</f>
        <v>25</v>
      </c>
    </row>
    <row r="4" spans="2:9" x14ac:dyDescent="0.3">
      <c r="B4" s="29">
        <v>3</v>
      </c>
      <c r="C4" s="29" t="s">
        <v>773</v>
      </c>
      <c r="D4" s="29" t="s">
        <v>774</v>
      </c>
      <c r="E4" s="29">
        <v>1986</v>
      </c>
      <c r="F4" s="29">
        <f t="shared" si="0"/>
        <v>39</v>
      </c>
    </row>
    <row r="5" spans="2:9" x14ac:dyDescent="0.3">
      <c r="B5" s="29">
        <v>4</v>
      </c>
      <c r="C5" s="29" t="s">
        <v>775</v>
      </c>
      <c r="D5" s="29" t="s">
        <v>514</v>
      </c>
      <c r="E5" s="29">
        <v>1998</v>
      </c>
      <c r="F5" s="29">
        <f t="shared" si="0"/>
        <v>27</v>
      </c>
      <c r="H5" s="31" t="s">
        <v>776</v>
      </c>
      <c r="I5" s="40">
        <f>AVERAGE(F2:F33)</f>
        <v>31.875</v>
      </c>
    </row>
    <row r="6" spans="2:9" x14ac:dyDescent="0.3">
      <c r="B6" s="29">
        <v>5</v>
      </c>
      <c r="C6" s="29" t="s">
        <v>777</v>
      </c>
      <c r="D6" s="29" t="s">
        <v>771</v>
      </c>
      <c r="E6" s="29">
        <v>1996</v>
      </c>
      <c r="F6" s="29">
        <f t="shared" si="0"/>
        <v>29</v>
      </c>
    </row>
    <row r="7" spans="2:9" ht="15" customHeight="1" x14ac:dyDescent="0.3">
      <c r="B7" s="29">
        <v>6</v>
      </c>
      <c r="C7" s="29" t="s">
        <v>778</v>
      </c>
      <c r="D7" s="29" t="s">
        <v>771</v>
      </c>
      <c r="E7" s="29">
        <v>1992</v>
      </c>
      <c r="F7" s="29">
        <f t="shared" si="0"/>
        <v>33</v>
      </c>
    </row>
    <row r="8" spans="2:9" x14ac:dyDescent="0.3">
      <c r="B8" s="29">
        <v>7</v>
      </c>
      <c r="C8" s="29" t="s">
        <v>779</v>
      </c>
      <c r="D8" s="29" t="s">
        <v>730</v>
      </c>
      <c r="E8" s="29">
        <v>1998</v>
      </c>
      <c r="F8" s="29">
        <f t="shared" si="0"/>
        <v>27</v>
      </c>
    </row>
    <row r="9" spans="2:9" x14ac:dyDescent="0.3">
      <c r="B9" s="29">
        <v>8</v>
      </c>
      <c r="C9" s="29" t="s">
        <v>780</v>
      </c>
      <c r="D9" s="29" t="s">
        <v>514</v>
      </c>
      <c r="E9" s="29">
        <v>1997</v>
      </c>
      <c r="F9" s="29">
        <f t="shared" si="0"/>
        <v>28</v>
      </c>
    </row>
    <row r="10" spans="2:9" x14ac:dyDescent="0.3">
      <c r="B10" s="29">
        <v>9</v>
      </c>
      <c r="C10" s="29" t="s">
        <v>781</v>
      </c>
      <c r="D10" s="29" t="s">
        <v>771</v>
      </c>
      <c r="E10" s="29">
        <v>1998</v>
      </c>
      <c r="F10" s="29">
        <f t="shared" si="0"/>
        <v>27</v>
      </c>
    </row>
    <row r="11" spans="2:9" x14ac:dyDescent="0.3">
      <c r="B11" s="29">
        <v>10</v>
      </c>
      <c r="C11" s="29" t="s">
        <v>782</v>
      </c>
      <c r="D11" s="29" t="s">
        <v>555</v>
      </c>
      <c r="E11" s="29">
        <v>1988</v>
      </c>
      <c r="F11" s="29">
        <f t="shared" si="0"/>
        <v>37</v>
      </c>
    </row>
    <row r="12" spans="2:9" x14ac:dyDescent="0.3">
      <c r="B12" s="29">
        <v>11</v>
      </c>
      <c r="C12" s="29" t="s">
        <v>783</v>
      </c>
      <c r="D12" s="29" t="s">
        <v>771</v>
      </c>
      <c r="E12" s="29">
        <v>1990</v>
      </c>
      <c r="F12" s="29">
        <f t="shared" si="0"/>
        <v>35</v>
      </c>
    </row>
    <row r="13" spans="2:9" x14ac:dyDescent="0.3">
      <c r="B13" s="29">
        <v>12</v>
      </c>
      <c r="C13" s="29" t="s">
        <v>784</v>
      </c>
      <c r="D13" s="29" t="s">
        <v>785</v>
      </c>
      <c r="E13" s="29">
        <v>1996</v>
      </c>
      <c r="F13" s="29">
        <f t="shared" si="0"/>
        <v>29</v>
      </c>
    </row>
    <row r="14" spans="2:9" x14ac:dyDescent="0.3">
      <c r="B14" s="29">
        <v>13</v>
      </c>
      <c r="C14" s="29" t="s">
        <v>786</v>
      </c>
      <c r="D14" s="29" t="s">
        <v>771</v>
      </c>
      <c r="E14" s="29">
        <v>1986</v>
      </c>
      <c r="F14" s="29">
        <f t="shared" si="0"/>
        <v>39</v>
      </c>
    </row>
    <row r="15" spans="2:9" x14ac:dyDescent="0.3">
      <c r="B15" s="29">
        <v>14</v>
      </c>
      <c r="C15" s="29" t="s">
        <v>787</v>
      </c>
      <c r="D15" s="29" t="s">
        <v>771</v>
      </c>
      <c r="E15" s="29">
        <v>1997</v>
      </c>
      <c r="F15" s="29">
        <f t="shared" si="0"/>
        <v>28</v>
      </c>
    </row>
    <row r="16" spans="2:9" x14ac:dyDescent="0.3">
      <c r="B16" s="29">
        <v>15</v>
      </c>
      <c r="C16" s="29" t="s">
        <v>788</v>
      </c>
      <c r="D16" s="29" t="s">
        <v>514</v>
      </c>
      <c r="E16" s="29">
        <v>1993</v>
      </c>
      <c r="F16" s="29">
        <f t="shared" si="0"/>
        <v>32</v>
      </c>
    </row>
    <row r="17" spans="2:6" x14ac:dyDescent="0.3">
      <c r="B17" s="29">
        <v>16</v>
      </c>
      <c r="C17" s="29" t="s">
        <v>789</v>
      </c>
      <c r="D17" s="29" t="s">
        <v>555</v>
      </c>
      <c r="E17" s="29">
        <v>1992</v>
      </c>
      <c r="F17" s="29">
        <f t="shared" si="0"/>
        <v>33</v>
      </c>
    </row>
    <row r="18" spans="2:6" x14ac:dyDescent="0.3">
      <c r="B18" s="29">
        <v>17</v>
      </c>
      <c r="C18" s="29" t="s">
        <v>790</v>
      </c>
      <c r="D18" s="29" t="s">
        <v>771</v>
      </c>
      <c r="E18" s="29">
        <v>1996</v>
      </c>
      <c r="F18" s="29">
        <f t="shared" si="0"/>
        <v>29</v>
      </c>
    </row>
    <row r="19" spans="2:6" ht="15" customHeight="1" x14ac:dyDescent="0.3">
      <c r="B19" s="29">
        <v>18</v>
      </c>
      <c r="C19" s="29" t="s">
        <v>791</v>
      </c>
      <c r="D19" s="29" t="s">
        <v>792</v>
      </c>
      <c r="E19" s="29">
        <v>1998</v>
      </c>
      <c r="F19" s="29">
        <f t="shared" si="0"/>
        <v>27</v>
      </c>
    </row>
    <row r="20" spans="2:6" x14ac:dyDescent="0.3">
      <c r="B20" s="29">
        <v>19</v>
      </c>
      <c r="C20" s="29" t="s">
        <v>793</v>
      </c>
      <c r="D20" s="29" t="s">
        <v>771</v>
      </c>
      <c r="E20" s="29">
        <v>1992</v>
      </c>
      <c r="F20" s="29">
        <f t="shared" si="0"/>
        <v>33</v>
      </c>
    </row>
    <row r="21" spans="2:6" x14ac:dyDescent="0.3">
      <c r="B21" s="29">
        <v>20</v>
      </c>
      <c r="C21" s="29" t="s">
        <v>794</v>
      </c>
      <c r="D21" s="29" t="s">
        <v>607</v>
      </c>
      <c r="E21" s="29">
        <v>1994</v>
      </c>
      <c r="F21" s="29">
        <f t="shared" si="0"/>
        <v>31</v>
      </c>
    </row>
    <row r="22" spans="2:6" x14ac:dyDescent="0.3">
      <c r="B22" s="29">
        <v>21</v>
      </c>
      <c r="C22" s="29" t="s">
        <v>795</v>
      </c>
      <c r="D22" s="29" t="s">
        <v>796</v>
      </c>
      <c r="E22" s="29">
        <v>1990</v>
      </c>
      <c r="F22" s="29">
        <f t="shared" si="0"/>
        <v>35</v>
      </c>
    </row>
    <row r="23" spans="2:6" x14ac:dyDescent="0.3">
      <c r="B23" s="29">
        <v>22</v>
      </c>
      <c r="C23" s="29" t="s">
        <v>797</v>
      </c>
      <c r="D23" s="29" t="s">
        <v>771</v>
      </c>
      <c r="E23" s="29">
        <v>1996</v>
      </c>
      <c r="F23" s="29">
        <f t="shared" si="0"/>
        <v>29</v>
      </c>
    </row>
    <row r="24" spans="2:6" x14ac:dyDescent="0.3">
      <c r="B24" s="29">
        <v>23</v>
      </c>
      <c r="C24" s="29" t="s">
        <v>798</v>
      </c>
      <c r="D24" s="29" t="s">
        <v>771</v>
      </c>
      <c r="E24" s="29">
        <v>1995</v>
      </c>
      <c r="F24" s="29">
        <f t="shared" si="0"/>
        <v>30</v>
      </c>
    </row>
    <row r="25" spans="2:6" x14ac:dyDescent="0.3">
      <c r="B25" s="29">
        <v>24</v>
      </c>
      <c r="C25" s="29" t="s">
        <v>799</v>
      </c>
      <c r="D25" s="29" t="s">
        <v>607</v>
      </c>
      <c r="E25" s="29">
        <v>1985</v>
      </c>
      <c r="F25" s="29">
        <f t="shared" si="0"/>
        <v>40</v>
      </c>
    </row>
    <row r="26" spans="2:6" x14ac:dyDescent="0.3">
      <c r="B26" s="29">
        <v>25</v>
      </c>
      <c r="C26" s="29" t="s">
        <v>800</v>
      </c>
      <c r="D26" s="29" t="s">
        <v>771</v>
      </c>
      <c r="E26" s="29">
        <v>1998</v>
      </c>
      <c r="F26" s="29">
        <f t="shared" si="0"/>
        <v>27</v>
      </c>
    </row>
    <row r="27" spans="2:6" x14ac:dyDescent="0.3">
      <c r="B27" s="29">
        <v>26</v>
      </c>
      <c r="C27" s="29" t="s">
        <v>801</v>
      </c>
      <c r="D27" s="29" t="s">
        <v>771</v>
      </c>
      <c r="E27" s="29">
        <v>1997</v>
      </c>
      <c r="F27" s="29">
        <f t="shared" si="0"/>
        <v>28</v>
      </c>
    </row>
    <row r="28" spans="2:6" x14ac:dyDescent="0.3">
      <c r="B28" s="29">
        <v>27</v>
      </c>
      <c r="C28" s="29" t="s">
        <v>802</v>
      </c>
      <c r="D28" s="29" t="s">
        <v>803</v>
      </c>
      <c r="E28" s="29">
        <v>1989</v>
      </c>
      <c r="F28" s="29">
        <f t="shared" si="0"/>
        <v>36</v>
      </c>
    </row>
    <row r="29" spans="2:6" x14ac:dyDescent="0.3">
      <c r="B29" s="29">
        <v>28</v>
      </c>
      <c r="C29" s="29" t="s">
        <v>804</v>
      </c>
      <c r="D29" s="29" t="s">
        <v>514</v>
      </c>
      <c r="E29" s="29">
        <v>1987</v>
      </c>
      <c r="F29" s="29">
        <f t="shared" si="0"/>
        <v>38</v>
      </c>
    </row>
    <row r="30" spans="2:6" x14ac:dyDescent="0.3">
      <c r="B30" s="29">
        <v>29</v>
      </c>
      <c r="C30" s="29" t="s">
        <v>805</v>
      </c>
      <c r="D30" s="29" t="s">
        <v>771</v>
      </c>
      <c r="E30" s="29">
        <v>1997</v>
      </c>
      <c r="F30" s="29">
        <f t="shared" si="0"/>
        <v>28</v>
      </c>
    </row>
    <row r="31" spans="2:6" ht="15" customHeight="1" x14ac:dyDescent="0.3">
      <c r="B31" s="29">
        <v>30</v>
      </c>
      <c r="C31" s="29" t="s">
        <v>806</v>
      </c>
      <c r="D31" s="29" t="s">
        <v>807</v>
      </c>
      <c r="E31" s="29">
        <v>1985</v>
      </c>
      <c r="F31" s="29">
        <f t="shared" si="0"/>
        <v>40</v>
      </c>
    </row>
    <row r="32" spans="2:6" x14ac:dyDescent="0.3">
      <c r="B32" s="29">
        <v>31</v>
      </c>
      <c r="C32" s="29" t="s">
        <v>808</v>
      </c>
      <c r="D32" s="29" t="s">
        <v>771</v>
      </c>
      <c r="E32" s="29">
        <v>1997</v>
      </c>
      <c r="F32" s="29">
        <f t="shared" si="0"/>
        <v>28</v>
      </c>
    </row>
    <row r="33" spans="2:6" x14ac:dyDescent="0.3">
      <c r="B33" s="29">
        <v>32</v>
      </c>
      <c r="C33" s="29" t="s">
        <v>809</v>
      </c>
      <c r="D33" s="29" t="s">
        <v>771</v>
      </c>
      <c r="E33" s="29">
        <v>1991</v>
      </c>
      <c r="F33" s="29">
        <f t="shared" si="0"/>
        <v>34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C1432-2F16-4578-AFBE-230084D8AEA5}">
  <sheetPr>
    <tabColor rgb="FFFFFF00"/>
  </sheetPr>
  <dimension ref="B4:O14"/>
  <sheetViews>
    <sheetView zoomScaleNormal="100" workbookViewId="0">
      <selection activeCell="N12" sqref="N12"/>
    </sheetView>
  </sheetViews>
  <sheetFormatPr defaultColWidth="8.88671875" defaultRowHeight="14.4" x14ac:dyDescent="0.3"/>
  <cols>
    <col min="14" max="14" width="36.44140625" customWidth="1"/>
    <col min="15" max="15" width="11.109375" bestFit="1" customWidth="1"/>
  </cols>
  <sheetData>
    <row r="4" spans="2:15" x14ac:dyDescent="0.3">
      <c r="B4" s="33" t="s">
        <v>810</v>
      </c>
      <c r="C4" s="33" t="s">
        <v>811</v>
      </c>
      <c r="F4" s="35">
        <v>10</v>
      </c>
      <c r="G4" s="35">
        <v>20</v>
      </c>
      <c r="H4" s="35">
        <v>30</v>
      </c>
      <c r="I4" s="35">
        <v>40</v>
      </c>
      <c r="J4" s="35">
        <v>50</v>
      </c>
      <c r="K4" s="35">
        <v>60</v>
      </c>
    </row>
    <row r="5" spans="2:15" x14ac:dyDescent="0.3">
      <c r="B5" s="34">
        <v>50</v>
      </c>
      <c r="C5" s="34">
        <v>10</v>
      </c>
      <c r="E5" s="35">
        <v>50</v>
      </c>
      <c r="F5" s="36">
        <f>F$4*$E5</f>
        <v>500</v>
      </c>
      <c r="G5" s="36">
        <f t="shared" ref="G5:K5" si="0">G$4*$E5</f>
        <v>1000</v>
      </c>
      <c r="H5" s="36">
        <f t="shared" si="0"/>
        <v>1500</v>
      </c>
      <c r="I5" s="36">
        <f t="shared" si="0"/>
        <v>2000</v>
      </c>
      <c r="J5" s="36">
        <f t="shared" si="0"/>
        <v>2500</v>
      </c>
      <c r="K5" s="36">
        <f t="shared" si="0"/>
        <v>3000</v>
      </c>
    </row>
    <row r="6" spans="2:15" x14ac:dyDescent="0.3">
      <c r="B6" s="34">
        <v>100</v>
      </c>
      <c r="C6" s="34">
        <v>20</v>
      </c>
      <c r="E6" s="35">
        <v>100</v>
      </c>
      <c r="F6" s="36">
        <f t="shared" ref="F6:K14" si="1">F$4*$E6</f>
        <v>1000</v>
      </c>
      <c r="G6" s="36">
        <f t="shared" si="1"/>
        <v>2000</v>
      </c>
      <c r="H6" s="36">
        <f t="shared" si="1"/>
        <v>3000</v>
      </c>
      <c r="I6" s="36">
        <f t="shared" si="1"/>
        <v>4000</v>
      </c>
      <c r="J6" s="36">
        <f t="shared" si="1"/>
        <v>5000</v>
      </c>
      <c r="K6" s="36">
        <f t="shared" si="1"/>
        <v>6000</v>
      </c>
    </row>
    <row r="7" spans="2:15" x14ac:dyDescent="0.3">
      <c r="B7" s="34">
        <v>150</v>
      </c>
      <c r="C7" s="34">
        <v>30</v>
      </c>
      <c r="E7" s="35">
        <v>150</v>
      </c>
      <c r="F7" s="36">
        <f t="shared" si="1"/>
        <v>1500</v>
      </c>
      <c r="G7" s="36">
        <f t="shared" si="1"/>
        <v>3000</v>
      </c>
      <c r="H7" s="36">
        <f t="shared" si="1"/>
        <v>4500</v>
      </c>
      <c r="I7" s="36">
        <f t="shared" si="1"/>
        <v>6000</v>
      </c>
      <c r="J7" s="36">
        <f t="shared" si="1"/>
        <v>7500</v>
      </c>
      <c r="K7" s="36">
        <f t="shared" si="1"/>
        <v>9000</v>
      </c>
      <c r="N7" s="31" t="s">
        <v>812</v>
      </c>
      <c r="O7" s="41">
        <f>SUM(F5:K14)</f>
        <v>577500</v>
      </c>
    </row>
    <row r="8" spans="2:15" x14ac:dyDescent="0.3">
      <c r="B8" s="34">
        <v>200</v>
      </c>
      <c r="C8" s="34">
        <v>40</v>
      </c>
      <c r="E8" s="35">
        <v>200</v>
      </c>
      <c r="F8" s="36">
        <f t="shared" si="1"/>
        <v>2000</v>
      </c>
      <c r="G8" s="36">
        <f t="shared" si="1"/>
        <v>4000</v>
      </c>
      <c r="H8" s="36">
        <f t="shared" si="1"/>
        <v>6000</v>
      </c>
      <c r="I8" s="36">
        <f t="shared" si="1"/>
        <v>8000</v>
      </c>
      <c r="J8" s="36">
        <f t="shared" si="1"/>
        <v>10000</v>
      </c>
      <c r="K8" s="36">
        <f t="shared" si="1"/>
        <v>12000</v>
      </c>
      <c r="N8" s="31" t="s">
        <v>813</v>
      </c>
      <c r="O8" s="41">
        <f>AVERAGE(F5:K14)</f>
        <v>9625</v>
      </c>
    </row>
    <row r="9" spans="2:15" x14ac:dyDescent="0.3">
      <c r="B9" s="34">
        <v>250</v>
      </c>
      <c r="C9" s="34">
        <v>50</v>
      </c>
      <c r="E9" s="35">
        <v>250</v>
      </c>
      <c r="F9" s="36">
        <f t="shared" si="1"/>
        <v>2500</v>
      </c>
      <c r="G9" s="36">
        <f t="shared" si="1"/>
        <v>5000</v>
      </c>
      <c r="H9" s="36">
        <f t="shared" si="1"/>
        <v>7500</v>
      </c>
      <c r="I9" s="36">
        <f t="shared" si="1"/>
        <v>10000</v>
      </c>
      <c r="J9" s="36">
        <f t="shared" si="1"/>
        <v>12500</v>
      </c>
      <c r="K9" s="36">
        <f t="shared" si="1"/>
        <v>15000</v>
      </c>
      <c r="N9" s="31" t="s">
        <v>814</v>
      </c>
      <c r="O9" s="32">
        <f>COUNT(F5:K14)</f>
        <v>60</v>
      </c>
    </row>
    <row r="10" spans="2:15" x14ac:dyDescent="0.3">
      <c r="B10" s="34">
        <v>300</v>
      </c>
      <c r="C10" s="34">
        <v>60</v>
      </c>
      <c r="E10" s="35">
        <v>300</v>
      </c>
      <c r="F10" s="36">
        <f t="shared" si="1"/>
        <v>3000</v>
      </c>
      <c r="G10" s="36">
        <f t="shared" si="1"/>
        <v>6000</v>
      </c>
      <c r="H10" s="36">
        <f t="shared" si="1"/>
        <v>9000</v>
      </c>
      <c r="I10" s="36">
        <f t="shared" si="1"/>
        <v>12000</v>
      </c>
      <c r="J10" s="36">
        <f t="shared" si="1"/>
        <v>15000</v>
      </c>
      <c r="K10" s="36">
        <f t="shared" si="1"/>
        <v>18000</v>
      </c>
    </row>
    <row r="11" spans="2:15" x14ac:dyDescent="0.3">
      <c r="B11" s="34">
        <v>350</v>
      </c>
      <c r="C11" s="34"/>
      <c r="E11" s="35">
        <v>350</v>
      </c>
      <c r="F11" s="36">
        <f t="shared" si="1"/>
        <v>3500</v>
      </c>
      <c r="G11" s="36">
        <f t="shared" si="1"/>
        <v>7000</v>
      </c>
      <c r="H11" s="36">
        <f t="shared" si="1"/>
        <v>10500</v>
      </c>
      <c r="I11" s="36">
        <f t="shared" si="1"/>
        <v>14000</v>
      </c>
      <c r="J11" s="36">
        <f t="shared" si="1"/>
        <v>17500</v>
      </c>
      <c r="K11" s="36">
        <f t="shared" si="1"/>
        <v>21000</v>
      </c>
    </row>
    <row r="12" spans="2:15" x14ac:dyDescent="0.3">
      <c r="B12" s="34">
        <v>400</v>
      </c>
      <c r="C12" s="34"/>
      <c r="E12" s="35">
        <v>400</v>
      </c>
      <c r="F12" s="36">
        <f t="shared" si="1"/>
        <v>4000</v>
      </c>
      <c r="G12" s="36">
        <f t="shared" si="1"/>
        <v>8000</v>
      </c>
      <c r="H12" s="36">
        <f t="shared" si="1"/>
        <v>12000</v>
      </c>
      <c r="I12" s="36">
        <f t="shared" si="1"/>
        <v>16000</v>
      </c>
      <c r="J12" s="36">
        <f t="shared" si="1"/>
        <v>20000</v>
      </c>
      <c r="K12" s="36">
        <f t="shared" si="1"/>
        <v>24000</v>
      </c>
    </row>
    <row r="13" spans="2:15" x14ac:dyDescent="0.3">
      <c r="B13" s="34">
        <v>450</v>
      </c>
      <c r="C13" s="34"/>
      <c r="E13" s="35">
        <v>450</v>
      </c>
      <c r="F13" s="36">
        <f t="shared" si="1"/>
        <v>4500</v>
      </c>
      <c r="G13" s="36">
        <f t="shared" si="1"/>
        <v>9000</v>
      </c>
      <c r="H13" s="36">
        <f t="shared" si="1"/>
        <v>13500</v>
      </c>
      <c r="I13" s="36">
        <f t="shared" si="1"/>
        <v>18000</v>
      </c>
      <c r="J13" s="36">
        <f t="shared" si="1"/>
        <v>22500</v>
      </c>
      <c r="K13" s="36">
        <f t="shared" si="1"/>
        <v>27000</v>
      </c>
    </row>
    <row r="14" spans="2:15" x14ac:dyDescent="0.3">
      <c r="B14" s="34">
        <v>500</v>
      </c>
      <c r="C14" s="34"/>
      <c r="E14" s="35">
        <v>500</v>
      </c>
      <c r="F14" s="36">
        <f t="shared" si="1"/>
        <v>5000</v>
      </c>
      <c r="G14" s="36">
        <f t="shared" si="1"/>
        <v>10000</v>
      </c>
      <c r="H14" s="36">
        <f t="shared" si="1"/>
        <v>15000</v>
      </c>
      <c r="I14" s="36">
        <f t="shared" si="1"/>
        <v>20000</v>
      </c>
      <c r="J14" s="36">
        <f t="shared" si="1"/>
        <v>25000</v>
      </c>
      <c r="K14" s="36">
        <f t="shared" si="1"/>
        <v>30000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8"/>
  <sheetViews>
    <sheetView topLeftCell="A2" workbookViewId="0">
      <selection activeCell="N12" sqref="N12"/>
    </sheetView>
  </sheetViews>
  <sheetFormatPr defaultRowHeight="14.4" x14ac:dyDescent="0.3"/>
  <cols>
    <col min="1" max="1" width="15.44140625" customWidth="1"/>
    <col min="2" max="2" width="19.6640625" customWidth="1"/>
    <col min="3" max="3" width="33.33203125" bestFit="1" customWidth="1"/>
    <col min="4" max="4" width="15.44140625" customWidth="1"/>
    <col min="5" max="5" width="27.6640625" customWidth="1"/>
    <col min="6" max="6" width="16.5546875" customWidth="1"/>
    <col min="7" max="7" width="14.33203125" customWidth="1"/>
    <col min="8" max="8" width="15.88671875" bestFit="1" customWidth="1"/>
    <col min="9" max="9" width="13.109375" customWidth="1"/>
    <col min="10" max="10" width="13.6640625" customWidth="1"/>
    <col min="11" max="11" width="12.5546875" customWidth="1"/>
  </cols>
  <sheetData>
    <row r="1" spans="1:11" s="38" customFormat="1" x14ac:dyDescent="0.3">
      <c r="A1" s="42" t="s">
        <v>502</v>
      </c>
      <c r="B1" s="42" t="s">
        <v>503</v>
      </c>
      <c r="C1" s="42" t="s">
        <v>504</v>
      </c>
      <c r="D1" s="42" t="s">
        <v>505</v>
      </c>
      <c r="E1" s="42" t="s">
        <v>506</v>
      </c>
      <c r="F1" s="43" t="s">
        <v>507</v>
      </c>
      <c r="G1" s="43" t="s">
        <v>508</v>
      </c>
      <c r="H1" s="43" t="s">
        <v>509</v>
      </c>
      <c r="I1" s="44" t="s">
        <v>510</v>
      </c>
      <c r="J1" s="45" t="s">
        <v>511</v>
      </c>
      <c r="K1" s="45" t="s">
        <v>512</v>
      </c>
    </row>
    <row r="2" spans="1:11" x14ac:dyDescent="0.3">
      <c r="A2" s="46">
        <v>23345</v>
      </c>
      <c r="B2" s="46" t="s">
        <v>513</v>
      </c>
      <c r="C2" s="46" t="s">
        <v>514</v>
      </c>
      <c r="D2" s="46" t="s">
        <v>515</v>
      </c>
      <c r="E2" s="46" t="s">
        <v>516</v>
      </c>
      <c r="F2" s="46" t="s">
        <v>517</v>
      </c>
      <c r="G2" s="47">
        <v>41150</v>
      </c>
      <c r="H2" s="48">
        <f t="shared" ref="H2:H65" si="0">VALUE(MONTH(G2))</f>
        <v>8</v>
      </c>
      <c r="I2" s="49">
        <v>208</v>
      </c>
      <c r="J2" s="50">
        <v>14.5</v>
      </c>
      <c r="K2" s="51">
        <f t="shared" ref="K2:K65" si="1">J2*I2</f>
        <v>3016</v>
      </c>
    </row>
    <row r="3" spans="1:11" x14ac:dyDescent="0.3">
      <c r="A3" s="46">
        <v>23278</v>
      </c>
      <c r="B3" s="46" t="s">
        <v>518</v>
      </c>
      <c r="C3" s="46" t="s">
        <v>519</v>
      </c>
      <c r="D3" s="46" t="s">
        <v>515</v>
      </c>
      <c r="E3" s="46" t="s">
        <v>516</v>
      </c>
      <c r="F3" s="46" t="s">
        <v>520</v>
      </c>
      <c r="G3" s="47">
        <v>41145</v>
      </c>
      <c r="H3" s="48">
        <f t="shared" si="0"/>
        <v>8</v>
      </c>
      <c r="I3" s="49">
        <v>197</v>
      </c>
      <c r="J3" s="50">
        <v>14.5</v>
      </c>
      <c r="K3" s="51">
        <f t="shared" si="1"/>
        <v>2856.5</v>
      </c>
    </row>
    <row r="4" spans="1:11" x14ac:dyDescent="0.3">
      <c r="A4" s="46">
        <v>23303</v>
      </c>
      <c r="B4" s="46" t="s">
        <v>521</v>
      </c>
      <c r="C4" s="46" t="s">
        <v>522</v>
      </c>
      <c r="D4" s="46" t="s">
        <v>515</v>
      </c>
      <c r="E4" s="46" t="s">
        <v>516</v>
      </c>
      <c r="F4" s="46" t="s">
        <v>523</v>
      </c>
      <c r="G4" s="47">
        <v>41138</v>
      </c>
      <c r="H4" s="48">
        <f t="shared" si="0"/>
        <v>8</v>
      </c>
      <c r="I4" s="49">
        <v>176</v>
      </c>
      <c r="J4" s="50">
        <v>14.5</v>
      </c>
      <c r="K4" s="51">
        <f t="shared" si="1"/>
        <v>2552</v>
      </c>
    </row>
    <row r="5" spans="1:11" x14ac:dyDescent="0.3">
      <c r="A5" s="52">
        <v>23353</v>
      </c>
      <c r="B5" s="52" t="s">
        <v>524</v>
      </c>
      <c r="C5" s="52" t="s">
        <v>525</v>
      </c>
      <c r="D5" s="52" t="s">
        <v>515</v>
      </c>
      <c r="E5" s="52" t="s">
        <v>516</v>
      </c>
      <c r="F5" s="46" t="s">
        <v>520</v>
      </c>
      <c r="G5" s="47">
        <v>41070</v>
      </c>
      <c r="H5" s="48">
        <f t="shared" si="0"/>
        <v>6</v>
      </c>
      <c r="I5" s="49">
        <v>168</v>
      </c>
      <c r="J5" s="50">
        <v>14.5</v>
      </c>
      <c r="K5" s="51">
        <f t="shared" si="1"/>
        <v>2436</v>
      </c>
    </row>
    <row r="6" spans="1:11" x14ac:dyDescent="0.3">
      <c r="A6" s="46">
        <v>23289</v>
      </c>
      <c r="B6" s="46" t="s">
        <v>526</v>
      </c>
      <c r="C6" s="46" t="s">
        <v>527</v>
      </c>
      <c r="D6" s="46" t="s">
        <v>515</v>
      </c>
      <c r="E6" s="46" t="s">
        <v>516</v>
      </c>
      <c r="F6" s="46" t="s">
        <v>523</v>
      </c>
      <c r="G6" s="47">
        <v>41123</v>
      </c>
      <c r="H6" s="48">
        <f t="shared" si="0"/>
        <v>8</v>
      </c>
      <c r="I6" s="49">
        <v>166</v>
      </c>
      <c r="J6" s="50">
        <v>14.5</v>
      </c>
      <c r="K6" s="51">
        <f t="shared" si="1"/>
        <v>2407</v>
      </c>
    </row>
    <row r="7" spans="1:11" x14ac:dyDescent="0.3">
      <c r="A7" s="46">
        <v>23378</v>
      </c>
      <c r="B7" s="46" t="s">
        <v>528</v>
      </c>
      <c r="C7" s="46" t="s">
        <v>529</v>
      </c>
      <c r="D7" s="46" t="s">
        <v>515</v>
      </c>
      <c r="E7" s="46" t="s">
        <v>516</v>
      </c>
      <c r="F7" s="46" t="s">
        <v>517</v>
      </c>
      <c r="G7" s="47">
        <v>41078</v>
      </c>
      <c r="H7" s="48">
        <f t="shared" si="0"/>
        <v>6</v>
      </c>
      <c r="I7" s="49">
        <v>157</v>
      </c>
      <c r="J7" s="50">
        <v>14.5</v>
      </c>
      <c r="K7" s="51">
        <f t="shared" si="1"/>
        <v>2276.5</v>
      </c>
    </row>
    <row r="8" spans="1:11" x14ac:dyDescent="0.3">
      <c r="A8" s="46">
        <v>23283</v>
      </c>
      <c r="B8" s="46" t="s">
        <v>530</v>
      </c>
      <c r="C8" s="46" t="s">
        <v>531</v>
      </c>
      <c r="D8" s="46" t="s">
        <v>515</v>
      </c>
      <c r="E8" s="46" t="s">
        <v>516</v>
      </c>
      <c r="F8" s="46" t="s">
        <v>517</v>
      </c>
      <c r="G8" s="47">
        <v>41084</v>
      </c>
      <c r="H8" s="48">
        <f t="shared" si="0"/>
        <v>6</v>
      </c>
      <c r="I8" s="49">
        <v>142</v>
      </c>
      <c r="J8" s="50">
        <v>14.5</v>
      </c>
      <c r="K8" s="51">
        <f t="shared" si="1"/>
        <v>2059</v>
      </c>
    </row>
    <row r="9" spans="1:11" x14ac:dyDescent="0.3">
      <c r="A9" s="46">
        <v>23324</v>
      </c>
      <c r="B9" s="46" t="s">
        <v>532</v>
      </c>
      <c r="C9" s="46" t="s">
        <v>533</v>
      </c>
      <c r="D9" s="46" t="s">
        <v>534</v>
      </c>
      <c r="E9" s="46" t="s">
        <v>535</v>
      </c>
      <c r="F9" s="46" t="s">
        <v>523</v>
      </c>
      <c r="G9" s="47">
        <v>41134</v>
      </c>
      <c r="H9" s="48">
        <f t="shared" si="0"/>
        <v>8</v>
      </c>
      <c r="I9" s="49">
        <v>193</v>
      </c>
      <c r="J9" s="50">
        <v>9.99</v>
      </c>
      <c r="K9" s="51">
        <f t="shared" si="1"/>
        <v>1928.07</v>
      </c>
    </row>
    <row r="10" spans="1:11" x14ac:dyDescent="0.3">
      <c r="A10" s="46">
        <v>23264</v>
      </c>
      <c r="B10" s="46" t="s">
        <v>536</v>
      </c>
      <c r="C10" s="46" t="s">
        <v>537</v>
      </c>
      <c r="D10" s="46" t="s">
        <v>538</v>
      </c>
      <c r="E10" s="46" t="s">
        <v>539</v>
      </c>
      <c r="F10" s="46" t="s">
        <v>517</v>
      </c>
      <c r="G10" s="47">
        <v>41139</v>
      </c>
      <c r="H10" s="48">
        <f t="shared" si="0"/>
        <v>8</v>
      </c>
      <c r="I10" s="49">
        <v>205</v>
      </c>
      <c r="J10" s="50">
        <v>9</v>
      </c>
      <c r="K10" s="51">
        <f t="shared" si="1"/>
        <v>1845</v>
      </c>
    </row>
    <row r="11" spans="1:11" x14ac:dyDescent="0.3">
      <c r="A11" s="46">
        <v>23291</v>
      </c>
      <c r="B11" s="46" t="s">
        <v>540</v>
      </c>
      <c r="C11" s="46" t="s">
        <v>541</v>
      </c>
      <c r="D11" s="46" t="s">
        <v>538</v>
      </c>
      <c r="E11" s="46" t="s">
        <v>539</v>
      </c>
      <c r="F11" s="46" t="s">
        <v>523</v>
      </c>
      <c r="G11" s="47">
        <v>41139</v>
      </c>
      <c r="H11" s="48">
        <f t="shared" si="0"/>
        <v>8</v>
      </c>
      <c r="I11" s="49">
        <v>199</v>
      </c>
      <c r="J11" s="50">
        <v>9</v>
      </c>
      <c r="K11" s="51">
        <f t="shared" si="1"/>
        <v>1791</v>
      </c>
    </row>
    <row r="12" spans="1:11" x14ac:dyDescent="0.3">
      <c r="A12" s="46">
        <v>23305</v>
      </c>
      <c r="B12" s="46" t="s">
        <v>542</v>
      </c>
      <c r="C12" s="46" t="s">
        <v>543</v>
      </c>
      <c r="D12" s="46" t="s">
        <v>538</v>
      </c>
      <c r="E12" s="46" t="s">
        <v>539</v>
      </c>
      <c r="F12" s="46" t="s">
        <v>517</v>
      </c>
      <c r="G12" s="47">
        <v>41147</v>
      </c>
      <c r="H12" s="48">
        <f t="shared" si="0"/>
        <v>8</v>
      </c>
      <c r="I12" s="49">
        <v>188</v>
      </c>
      <c r="J12" s="50">
        <v>9</v>
      </c>
      <c r="K12" s="51">
        <f t="shared" si="1"/>
        <v>1692</v>
      </c>
    </row>
    <row r="13" spans="1:11" x14ac:dyDescent="0.3">
      <c r="A13" s="46">
        <v>23350</v>
      </c>
      <c r="B13" s="46" t="s">
        <v>544</v>
      </c>
      <c r="C13" s="46" t="s">
        <v>545</v>
      </c>
      <c r="D13" s="46" t="s">
        <v>538</v>
      </c>
      <c r="E13" s="46" t="s">
        <v>539</v>
      </c>
      <c r="F13" s="46" t="s">
        <v>517</v>
      </c>
      <c r="G13" s="47">
        <v>41085</v>
      </c>
      <c r="H13" s="48">
        <f t="shared" si="0"/>
        <v>6</v>
      </c>
      <c r="I13" s="49">
        <v>188</v>
      </c>
      <c r="J13" s="50">
        <v>9</v>
      </c>
      <c r="K13" s="51">
        <f t="shared" si="1"/>
        <v>1692</v>
      </c>
    </row>
    <row r="14" spans="1:11" x14ac:dyDescent="0.3">
      <c r="A14" s="46">
        <v>23300</v>
      </c>
      <c r="B14" s="46" t="s">
        <v>546</v>
      </c>
      <c r="C14" s="46" t="s">
        <v>547</v>
      </c>
      <c r="D14" s="46" t="s">
        <v>534</v>
      </c>
      <c r="E14" s="46" t="s">
        <v>535</v>
      </c>
      <c r="F14" s="46" t="s">
        <v>517</v>
      </c>
      <c r="G14" s="47">
        <v>40915</v>
      </c>
      <c r="H14" s="48">
        <f t="shared" si="0"/>
        <v>1</v>
      </c>
      <c r="I14" s="49">
        <v>167</v>
      </c>
      <c r="J14" s="50">
        <v>9.99</v>
      </c>
      <c r="K14" s="51">
        <f t="shared" si="1"/>
        <v>1668.33</v>
      </c>
    </row>
    <row r="15" spans="1:11" x14ac:dyDescent="0.3">
      <c r="A15" s="46">
        <v>23348</v>
      </c>
      <c r="B15" s="46" t="s">
        <v>548</v>
      </c>
      <c r="C15" s="46" t="s">
        <v>549</v>
      </c>
      <c r="D15" s="46" t="s">
        <v>534</v>
      </c>
      <c r="E15" s="46" t="s">
        <v>535</v>
      </c>
      <c r="F15" s="46" t="s">
        <v>523</v>
      </c>
      <c r="G15" s="47">
        <v>41146</v>
      </c>
      <c r="H15" s="48">
        <f t="shared" si="0"/>
        <v>8</v>
      </c>
      <c r="I15" s="49">
        <v>163</v>
      </c>
      <c r="J15" s="50">
        <v>9.99</v>
      </c>
      <c r="K15" s="51">
        <f t="shared" si="1"/>
        <v>1628.3700000000001</v>
      </c>
    </row>
    <row r="16" spans="1:11" x14ac:dyDescent="0.3">
      <c r="A16" s="46">
        <v>23290</v>
      </c>
      <c r="B16" s="46" t="s">
        <v>550</v>
      </c>
      <c r="C16" s="46" t="s">
        <v>551</v>
      </c>
      <c r="D16" s="46" t="s">
        <v>538</v>
      </c>
      <c r="E16" s="46" t="s">
        <v>539</v>
      </c>
      <c r="F16" s="46" t="s">
        <v>517</v>
      </c>
      <c r="G16" s="47">
        <v>41132</v>
      </c>
      <c r="H16" s="48">
        <f t="shared" si="0"/>
        <v>8</v>
      </c>
      <c r="I16" s="49">
        <v>170</v>
      </c>
      <c r="J16" s="50">
        <v>9</v>
      </c>
      <c r="K16" s="51">
        <f t="shared" si="1"/>
        <v>1530</v>
      </c>
    </row>
    <row r="17" spans="1:11" x14ac:dyDescent="0.3">
      <c r="A17" s="46">
        <v>23328</v>
      </c>
      <c r="B17" s="46" t="s">
        <v>552</v>
      </c>
      <c r="C17" s="46" t="s">
        <v>553</v>
      </c>
      <c r="D17" s="46" t="s">
        <v>515</v>
      </c>
      <c r="E17" s="46" t="s">
        <v>516</v>
      </c>
      <c r="F17" s="46" t="s">
        <v>523</v>
      </c>
      <c r="G17" s="47">
        <v>40923</v>
      </c>
      <c r="H17" s="48">
        <f t="shared" si="0"/>
        <v>1</v>
      </c>
      <c r="I17" s="49">
        <v>102</v>
      </c>
      <c r="J17" s="50">
        <v>14.5</v>
      </c>
      <c r="K17" s="51">
        <f t="shared" si="1"/>
        <v>1479</v>
      </c>
    </row>
    <row r="18" spans="1:11" x14ac:dyDescent="0.3">
      <c r="A18" s="46">
        <v>23294</v>
      </c>
      <c r="B18" s="46" t="s">
        <v>554</v>
      </c>
      <c r="C18" s="46" t="s">
        <v>555</v>
      </c>
      <c r="D18" s="46" t="s">
        <v>538</v>
      </c>
      <c r="E18" s="46" t="s">
        <v>539</v>
      </c>
      <c r="F18" s="46" t="s">
        <v>523</v>
      </c>
      <c r="G18" s="47">
        <v>41082</v>
      </c>
      <c r="H18" s="48">
        <f t="shared" si="0"/>
        <v>6</v>
      </c>
      <c r="I18" s="49">
        <v>160</v>
      </c>
      <c r="J18" s="50">
        <v>9</v>
      </c>
      <c r="K18" s="51">
        <f t="shared" si="1"/>
        <v>1440</v>
      </c>
    </row>
    <row r="19" spans="1:11" x14ac:dyDescent="0.3">
      <c r="A19" s="46">
        <v>23371</v>
      </c>
      <c r="B19" s="46" t="s">
        <v>556</v>
      </c>
      <c r="C19" s="46" t="s">
        <v>557</v>
      </c>
      <c r="D19" s="46" t="s">
        <v>558</v>
      </c>
      <c r="E19" s="46" t="s">
        <v>559</v>
      </c>
      <c r="F19" s="46" t="s">
        <v>517</v>
      </c>
      <c r="G19" s="47">
        <v>41136</v>
      </c>
      <c r="H19" s="48">
        <f t="shared" si="0"/>
        <v>8</v>
      </c>
      <c r="I19" s="49">
        <v>204</v>
      </c>
      <c r="J19" s="50">
        <v>6.99</v>
      </c>
      <c r="K19" s="51">
        <f t="shared" si="1"/>
        <v>1425.96</v>
      </c>
    </row>
    <row r="20" spans="1:11" x14ac:dyDescent="0.3">
      <c r="A20" s="46">
        <v>23288</v>
      </c>
      <c r="B20" s="46" t="s">
        <v>560</v>
      </c>
      <c r="C20" s="46" t="s">
        <v>561</v>
      </c>
      <c r="D20" s="46" t="s">
        <v>534</v>
      </c>
      <c r="E20" s="46" t="s">
        <v>535</v>
      </c>
      <c r="F20" s="46" t="s">
        <v>520</v>
      </c>
      <c r="G20" s="47">
        <v>41074</v>
      </c>
      <c r="H20" s="48">
        <f t="shared" si="0"/>
        <v>6</v>
      </c>
      <c r="I20" s="49">
        <v>141</v>
      </c>
      <c r="J20" s="50">
        <v>9.99</v>
      </c>
      <c r="K20" s="51">
        <f t="shared" si="1"/>
        <v>1408.59</v>
      </c>
    </row>
    <row r="21" spans="1:11" x14ac:dyDescent="0.3">
      <c r="A21" s="46">
        <v>23347</v>
      </c>
      <c r="B21" s="46" t="s">
        <v>562</v>
      </c>
      <c r="C21" s="46" t="s">
        <v>563</v>
      </c>
      <c r="D21" s="46" t="s">
        <v>538</v>
      </c>
      <c r="E21" s="46" t="s">
        <v>539</v>
      </c>
      <c r="F21" s="46" t="s">
        <v>517</v>
      </c>
      <c r="G21" s="47">
        <v>41088</v>
      </c>
      <c r="H21" s="48">
        <f t="shared" si="0"/>
        <v>6</v>
      </c>
      <c r="I21" s="49">
        <v>147</v>
      </c>
      <c r="J21" s="50">
        <v>9</v>
      </c>
      <c r="K21" s="51">
        <f t="shared" si="1"/>
        <v>1323</v>
      </c>
    </row>
    <row r="22" spans="1:11" x14ac:dyDescent="0.3">
      <c r="A22" s="46">
        <v>23361</v>
      </c>
      <c r="B22" s="46" t="s">
        <v>564</v>
      </c>
      <c r="C22" s="46" t="s">
        <v>565</v>
      </c>
      <c r="D22" s="46" t="s">
        <v>558</v>
      </c>
      <c r="E22" s="46" t="s">
        <v>559</v>
      </c>
      <c r="F22" s="46" t="s">
        <v>517</v>
      </c>
      <c r="G22" s="47">
        <v>40915</v>
      </c>
      <c r="H22" s="48">
        <f t="shared" si="0"/>
        <v>1</v>
      </c>
      <c r="I22" s="49">
        <v>184</v>
      </c>
      <c r="J22" s="50">
        <v>6.99</v>
      </c>
      <c r="K22" s="51">
        <f t="shared" si="1"/>
        <v>1286.1600000000001</v>
      </c>
    </row>
    <row r="23" spans="1:11" x14ac:dyDescent="0.3">
      <c r="A23" s="46">
        <v>23275</v>
      </c>
      <c r="B23" s="46" t="s">
        <v>566</v>
      </c>
      <c r="C23" s="46" t="s">
        <v>567</v>
      </c>
      <c r="D23" s="46" t="s">
        <v>538</v>
      </c>
      <c r="E23" s="46" t="s">
        <v>539</v>
      </c>
      <c r="F23" s="46" t="s">
        <v>523</v>
      </c>
      <c r="G23" s="47">
        <v>40912</v>
      </c>
      <c r="H23" s="48">
        <f t="shared" si="0"/>
        <v>1</v>
      </c>
      <c r="I23" s="49">
        <v>141</v>
      </c>
      <c r="J23" s="50">
        <v>9</v>
      </c>
      <c r="K23" s="51">
        <f t="shared" si="1"/>
        <v>1269</v>
      </c>
    </row>
    <row r="24" spans="1:11" x14ac:dyDescent="0.3">
      <c r="A24" s="46">
        <v>23297</v>
      </c>
      <c r="B24" s="46" t="s">
        <v>568</v>
      </c>
      <c r="C24" s="46" t="s">
        <v>569</v>
      </c>
      <c r="D24" s="46" t="s">
        <v>538</v>
      </c>
      <c r="E24" s="46" t="s">
        <v>539</v>
      </c>
      <c r="F24" s="46" t="s">
        <v>517</v>
      </c>
      <c r="G24" s="47">
        <v>41133</v>
      </c>
      <c r="H24" s="48">
        <f t="shared" si="0"/>
        <v>8</v>
      </c>
      <c r="I24" s="49">
        <v>135</v>
      </c>
      <c r="J24" s="50">
        <v>9</v>
      </c>
      <c r="K24" s="51">
        <f t="shared" si="1"/>
        <v>1215</v>
      </c>
    </row>
    <row r="25" spans="1:11" x14ac:dyDescent="0.3">
      <c r="A25" s="46">
        <v>23327</v>
      </c>
      <c r="B25" s="46" t="s">
        <v>570</v>
      </c>
      <c r="C25" s="46" t="s">
        <v>571</v>
      </c>
      <c r="D25" s="46" t="s">
        <v>572</v>
      </c>
      <c r="E25" s="46" t="s">
        <v>573</v>
      </c>
      <c r="F25" s="46" t="s">
        <v>523</v>
      </c>
      <c r="G25" s="47">
        <v>40939</v>
      </c>
      <c r="H25" s="48">
        <f t="shared" si="0"/>
        <v>1</v>
      </c>
      <c r="I25" s="49">
        <v>176</v>
      </c>
      <c r="J25" s="50">
        <v>6.5</v>
      </c>
      <c r="K25" s="51">
        <f t="shared" si="1"/>
        <v>1144</v>
      </c>
    </row>
    <row r="26" spans="1:11" x14ac:dyDescent="0.3">
      <c r="A26" s="46">
        <v>23325</v>
      </c>
      <c r="B26" s="46" t="s">
        <v>574</v>
      </c>
      <c r="C26" s="46" t="s">
        <v>575</v>
      </c>
      <c r="D26" s="46" t="s">
        <v>576</v>
      </c>
      <c r="E26" s="46" t="s">
        <v>577</v>
      </c>
      <c r="F26" s="46" t="s">
        <v>523</v>
      </c>
      <c r="G26" s="47">
        <v>41082</v>
      </c>
      <c r="H26" s="48">
        <f t="shared" si="0"/>
        <v>6</v>
      </c>
      <c r="I26" s="49">
        <v>184</v>
      </c>
      <c r="J26" s="50">
        <v>6</v>
      </c>
      <c r="K26" s="51">
        <f t="shared" si="1"/>
        <v>1104</v>
      </c>
    </row>
    <row r="27" spans="1:11" x14ac:dyDescent="0.3">
      <c r="A27" s="46">
        <v>23292</v>
      </c>
      <c r="B27" s="46" t="s">
        <v>578</v>
      </c>
      <c r="C27" s="46" t="s">
        <v>579</v>
      </c>
      <c r="D27" s="46" t="s">
        <v>515</v>
      </c>
      <c r="E27" s="46" t="s">
        <v>516</v>
      </c>
      <c r="F27" s="46" t="s">
        <v>517</v>
      </c>
      <c r="G27" s="47">
        <v>40911</v>
      </c>
      <c r="H27" s="48">
        <f t="shared" si="0"/>
        <v>1</v>
      </c>
      <c r="I27" s="49">
        <v>73</v>
      </c>
      <c r="J27" s="50">
        <v>14.5</v>
      </c>
      <c r="K27" s="51">
        <f t="shared" si="1"/>
        <v>1058.5</v>
      </c>
    </row>
    <row r="28" spans="1:11" x14ac:dyDescent="0.3">
      <c r="A28" s="46">
        <v>23335</v>
      </c>
      <c r="B28" s="46" t="s">
        <v>580</v>
      </c>
      <c r="C28" s="46" t="s">
        <v>581</v>
      </c>
      <c r="D28" s="46" t="s">
        <v>538</v>
      </c>
      <c r="E28" s="46" t="s">
        <v>539</v>
      </c>
      <c r="F28" s="46" t="s">
        <v>517</v>
      </c>
      <c r="G28" s="47">
        <v>41134</v>
      </c>
      <c r="H28" s="48">
        <f t="shared" si="0"/>
        <v>8</v>
      </c>
      <c r="I28" s="49">
        <v>116</v>
      </c>
      <c r="J28" s="50">
        <v>9</v>
      </c>
      <c r="K28" s="51">
        <f t="shared" si="1"/>
        <v>1044</v>
      </c>
    </row>
    <row r="29" spans="1:11" x14ac:dyDescent="0.3">
      <c r="A29" s="46">
        <v>23314</v>
      </c>
      <c r="B29" s="46" t="s">
        <v>582</v>
      </c>
      <c r="C29" s="46" t="s">
        <v>583</v>
      </c>
      <c r="D29" s="46" t="s">
        <v>534</v>
      </c>
      <c r="E29" s="46" t="s">
        <v>535</v>
      </c>
      <c r="F29" s="46" t="s">
        <v>523</v>
      </c>
      <c r="G29" s="47">
        <v>41131</v>
      </c>
      <c r="H29" s="48">
        <f t="shared" si="0"/>
        <v>8</v>
      </c>
      <c r="I29" s="49">
        <v>95</v>
      </c>
      <c r="J29" s="50">
        <v>9.99</v>
      </c>
      <c r="K29" s="51">
        <f t="shared" si="1"/>
        <v>949.05000000000007</v>
      </c>
    </row>
    <row r="30" spans="1:11" x14ac:dyDescent="0.3">
      <c r="A30" s="46">
        <v>23329</v>
      </c>
      <c r="B30" s="46" t="s">
        <v>584</v>
      </c>
      <c r="C30" s="46" t="s">
        <v>585</v>
      </c>
      <c r="D30" s="46" t="s">
        <v>586</v>
      </c>
      <c r="E30" s="46" t="s">
        <v>587</v>
      </c>
      <c r="F30" s="46" t="s">
        <v>523</v>
      </c>
      <c r="G30" s="47">
        <v>40931</v>
      </c>
      <c r="H30" s="48">
        <f t="shared" si="0"/>
        <v>1</v>
      </c>
      <c r="I30" s="49">
        <v>203</v>
      </c>
      <c r="J30" s="50">
        <v>4.5</v>
      </c>
      <c r="K30" s="51">
        <f t="shared" si="1"/>
        <v>913.5</v>
      </c>
    </row>
    <row r="31" spans="1:11" x14ac:dyDescent="0.3">
      <c r="A31" s="46">
        <v>23332</v>
      </c>
      <c r="B31" s="46" t="s">
        <v>588</v>
      </c>
      <c r="C31" s="46" t="s">
        <v>589</v>
      </c>
      <c r="D31" s="46" t="s">
        <v>586</v>
      </c>
      <c r="E31" s="46" t="s">
        <v>587</v>
      </c>
      <c r="F31" s="46" t="s">
        <v>520</v>
      </c>
      <c r="G31" s="47">
        <v>40950</v>
      </c>
      <c r="H31" s="48">
        <f t="shared" si="0"/>
        <v>2</v>
      </c>
      <c r="I31" s="49">
        <v>203</v>
      </c>
      <c r="J31" s="50">
        <v>4.5</v>
      </c>
      <c r="K31" s="51">
        <f t="shared" si="1"/>
        <v>913.5</v>
      </c>
    </row>
    <row r="32" spans="1:11" x14ac:dyDescent="0.3">
      <c r="A32" s="46">
        <v>23317</v>
      </c>
      <c r="B32" s="46" t="s">
        <v>590</v>
      </c>
      <c r="C32" s="46" t="s">
        <v>591</v>
      </c>
      <c r="D32" s="46" t="s">
        <v>586</v>
      </c>
      <c r="E32" s="46" t="s">
        <v>587</v>
      </c>
      <c r="F32" s="46" t="s">
        <v>520</v>
      </c>
      <c r="G32" s="47">
        <v>40956</v>
      </c>
      <c r="H32" s="48">
        <f t="shared" si="0"/>
        <v>2</v>
      </c>
      <c r="I32" s="49">
        <v>196</v>
      </c>
      <c r="J32" s="50">
        <v>4.5</v>
      </c>
      <c r="K32" s="51">
        <f t="shared" si="1"/>
        <v>882</v>
      </c>
    </row>
    <row r="33" spans="1:11" x14ac:dyDescent="0.3">
      <c r="A33" s="46">
        <v>23271</v>
      </c>
      <c r="B33" s="46" t="s">
        <v>592</v>
      </c>
      <c r="C33" s="46" t="s">
        <v>593</v>
      </c>
      <c r="D33" s="46" t="s">
        <v>558</v>
      </c>
      <c r="E33" s="46" t="s">
        <v>559</v>
      </c>
      <c r="F33" s="46" t="s">
        <v>523</v>
      </c>
      <c r="G33" s="47">
        <v>40966</v>
      </c>
      <c r="H33" s="48">
        <f t="shared" si="0"/>
        <v>2</v>
      </c>
      <c r="I33" s="49">
        <v>125</v>
      </c>
      <c r="J33" s="50">
        <v>6.99</v>
      </c>
      <c r="K33" s="51">
        <f t="shared" si="1"/>
        <v>873.75</v>
      </c>
    </row>
    <row r="34" spans="1:11" x14ac:dyDescent="0.3">
      <c r="A34" s="46">
        <v>23287</v>
      </c>
      <c r="B34" s="46" t="s">
        <v>594</v>
      </c>
      <c r="C34" s="46" t="s">
        <v>595</v>
      </c>
      <c r="D34" s="46" t="s">
        <v>586</v>
      </c>
      <c r="E34" s="46" t="s">
        <v>587</v>
      </c>
      <c r="F34" s="46" t="s">
        <v>523</v>
      </c>
      <c r="G34" s="47">
        <v>41077</v>
      </c>
      <c r="H34" s="48">
        <f t="shared" si="0"/>
        <v>6</v>
      </c>
      <c r="I34" s="49">
        <v>189</v>
      </c>
      <c r="J34" s="50">
        <v>4.5</v>
      </c>
      <c r="K34" s="51">
        <f t="shared" si="1"/>
        <v>850.5</v>
      </c>
    </row>
    <row r="35" spans="1:11" x14ac:dyDescent="0.3">
      <c r="A35" s="46">
        <v>23349</v>
      </c>
      <c r="B35" s="46" t="s">
        <v>596</v>
      </c>
      <c r="C35" s="46" t="s">
        <v>597</v>
      </c>
      <c r="D35" s="46" t="s">
        <v>572</v>
      </c>
      <c r="E35" s="46" t="s">
        <v>573</v>
      </c>
      <c r="F35" s="46" t="s">
        <v>523</v>
      </c>
      <c r="G35" s="47">
        <v>41112</v>
      </c>
      <c r="H35" s="48">
        <f t="shared" si="0"/>
        <v>7</v>
      </c>
      <c r="I35" s="49">
        <v>126</v>
      </c>
      <c r="J35" s="50">
        <v>6.5</v>
      </c>
      <c r="K35" s="51">
        <f t="shared" si="1"/>
        <v>819</v>
      </c>
    </row>
    <row r="36" spans="1:11" x14ac:dyDescent="0.3">
      <c r="A36" s="46">
        <v>23309</v>
      </c>
      <c r="B36" s="46" t="s">
        <v>598</v>
      </c>
      <c r="C36" s="46" t="s">
        <v>599</v>
      </c>
      <c r="D36" s="46" t="s">
        <v>600</v>
      </c>
      <c r="E36" s="46" t="s">
        <v>601</v>
      </c>
      <c r="F36" s="46" t="s">
        <v>517</v>
      </c>
      <c r="G36" s="47">
        <v>41083</v>
      </c>
      <c r="H36" s="48">
        <f t="shared" si="0"/>
        <v>6</v>
      </c>
      <c r="I36" s="49">
        <v>201</v>
      </c>
      <c r="J36" s="50">
        <v>3.99</v>
      </c>
      <c r="K36" s="51">
        <f t="shared" si="1"/>
        <v>801.99</v>
      </c>
    </row>
    <row r="37" spans="1:11" x14ac:dyDescent="0.3">
      <c r="A37" s="46">
        <v>23338</v>
      </c>
      <c r="B37" s="46" t="s">
        <v>602</v>
      </c>
      <c r="C37" s="46" t="s">
        <v>603</v>
      </c>
      <c r="D37" s="46" t="s">
        <v>586</v>
      </c>
      <c r="E37" s="46" t="s">
        <v>587</v>
      </c>
      <c r="F37" s="46" t="s">
        <v>523</v>
      </c>
      <c r="G37" s="47">
        <v>41133</v>
      </c>
      <c r="H37" s="48">
        <f t="shared" si="0"/>
        <v>8</v>
      </c>
      <c r="I37" s="49">
        <v>178</v>
      </c>
      <c r="J37" s="50">
        <v>4.5</v>
      </c>
      <c r="K37" s="51">
        <f t="shared" si="1"/>
        <v>801</v>
      </c>
    </row>
    <row r="38" spans="1:11" x14ac:dyDescent="0.3">
      <c r="A38" s="46">
        <v>23301</v>
      </c>
      <c r="B38" s="46" t="s">
        <v>604</v>
      </c>
      <c r="C38" s="46" t="s">
        <v>605</v>
      </c>
      <c r="D38" s="46" t="s">
        <v>558</v>
      </c>
      <c r="E38" s="46" t="s">
        <v>559</v>
      </c>
      <c r="F38" s="46" t="s">
        <v>523</v>
      </c>
      <c r="G38" s="47">
        <v>41109</v>
      </c>
      <c r="H38" s="48">
        <f t="shared" si="0"/>
        <v>7</v>
      </c>
      <c r="I38" s="49">
        <v>108</v>
      </c>
      <c r="J38" s="50">
        <v>6.99</v>
      </c>
      <c r="K38" s="51">
        <f t="shared" si="1"/>
        <v>754.92000000000007</v>
      </c>
    </row>
    <row r="39" spans="1:11" x14ac:dyDescent="0.3">
      <c r="A39" s="46">
        <v>23320</v>
      </c>
      <c r="B39" s="46" t="s">
        <v>606</v>
      </c>
      <c r="C39" s="46" t="s">
        <v>607</v>
      </c>
      <c r="D39" s="46" t="s">
        <v>576</v>
      </c>
      <c r="E39" s="46" t="s">
        <v>577</v>
      </c>
      <c r="F39" s="46" t="s">
        <v>520</v>
      </c>
      <c r="G39" s="47">
        <v>41075</v>
      </c>
      <c r="H39" s="48">
        <f t="shared" si="0"/>
        <v>6</v>
      </c>
      <c r="I39" s="49">
        <v>125</v>
      </c>
      <c r="J39" s="50">
        <v>6</v>
      </c>
      <c r="K39" s="51">
        <f t="shared" si="1"/>
        <v>750</v>
      </c>
    </row>
    <row r="40" spans="1:11" x14ac:dyDescent="0.3">
      <c r="A40" s="46">
        <v>23365</v>
      </c>
      <c r="B40" s="46" t="s">
        <v>608</v>
      </c>
      <c r="C40" s="46" t="s">
        <v>609</v>
      </c>
      <c r="D40" s="46" t="s">
        <v>610</v>
      </c>
      <c r="E40" s="46" t="s">
        <v>611</v>
      </c>
      <c r="F40" s="46" t="s">
        <v>523</v>
      </c>
      <c r="G40" s="47">
        <v>41099</v>
      </c>
      <c r="H40" s="48">
        <f t="shared" si="0"/>
        <v>7</v>
      </c>
      <c r="I40" s="49">
        <v>165</v>
      </c>
      <c r="J40" s="50">
        <v>4.5</v>
      </c>
      <c r="K40" s="51">
        <f t="shared" si="1"/>
        <v>742.5</v>
      </c>
    </row>
    <row r="41" spans="1:11" x14ac:dyDescent="0.3">
      <c r="A41" s="46">
        <v>23302</v>
      </c>
      <c r="B41" s="46" t="s">
        <v>612</v>
      </c>
      <c r="C41" s="46" t="s">
        <v>583</v>
      </c>
      <c r="D41" s="46" t="s">
        <v>613</v>
      </c>
      <c r="E41" s="46" t="s">
        <v>614</v>
      </c>
      <c r="F41" s="46" t="s">
        <v>517</v>
      </c>
      <c r="G41" s="47">
        <v>41117</v>
      </c>
      <c r="H41" s="48">
        <f t="shared" si="0"/>
        <v>7</v>
      </c>
      <c r="I41" s="49">
        <v>105</v>
      </c>
      <c r="J41" s="50">
        <v>6.5</v>
      </c>
      <c r="K41" s="51">
        <f t="shared" si="1"/>
        <v>682.5</v>
      </c>
    </row>
    <row r="42" spans="1:11" x14ac:dyDescent="0.3">
      <c r="A42" s="46">
        <v>23266</v>
      </c>
      <c r="B42" s="46" t="s">
        <v>615</v>
      </c>
      <c r="C42" s="46" t="s">
        <v>616</v>
      </c>
      <c r="D42" s="46" t="s">
        <v>600</v>
      </c>
      <c r="E42" s="46" t="s">
        <v>601</v>
      </c>
      <c r="F42" s="46" t="s">
        <v>517</v>
      </c>
      <c r="G42" s="47">
        <v>41132</v>
      </c>
      <c r="H42" s="48">
        <f t="shared" si="0"/>
        <v>8</v>
      </c>
      <c r="I42" s="49">
        <v>170</v>
      </c>
      <c r="J42" s="50">
        <v>3.99</v>
      </c>
      <c r="K42" s="51">
        <f t="shared" si="1"/>
        <v>678.30000000000007</v>
      </c>
    </row>
    <row r="43" spans="1:11" x14ac:dyDescent="0.3">
      <c r="A43" s="46">
        <v>23307</v>
      </c>
      <c r="B43" s="46" t="s">
        <v>617</v>
      </c>
      <c r="C43" s="46" t="s">
        <v>618</v>
      </c>
      <c r="D43" s="46" t="s">
        <v>576</v>
      </c>
      <c r="E43" s="46" t="s">
        <v>577</v>
      </c>
      <c r="F43" s="46" t="s">
        <v>523</v>
      </c>
      <c r="G43" s="47">
        <v>41094</v>
      </c>
      <c r="H43" s="48">
        <f t="shared" si="0"/>
        <v>7</v>
      </c>
      <c r="I43" s="49">
        <v>113</v>
      </c>
      <c r="J43" s="50">
        <v>6</v>
      </c>
      <c r="K43" s="51">
        <f t="shared" si="1"/>
        <v>678</v>
      </c>
    </row>
    <row r="44" spans="1:11" x14ac:dyDescent="0.3">
      <c r="A44" s="46">
        <v>23368</v>
      </c>
      <c r="B44" s="46" t="s">
        <v>619</v>
      </c>
      <c r="C44" s="46" t="s">
        <v>620</v>
      </c>
      <c r="D44" s="46" t="s">
        <v>610</v>
      </c>
      <c r="E44" s="46" t="s">
        <v>611</v>
      </c>
      <c r="F44" s="46" t="s">
        <v>523</v>
      </c>
      <c r="G44" s="47">
        <v>41146</v>
      </c>
      <c r="H44" s="48">
        <f t="shared" si="0"/>
        <v>8</v>
      </c>
      <c r="I44" s="49">
        <v>150</v>
      </c>
      <c r="J44" s="50">
        <v>4.5</v>
      </c>
      <c r="K44" s="51">
        <f t="shared" si="1"/>
        <v>675</v>
      </c>
    </row>
    <row r="45" spans="1:11" x14ac:dyDescent="0.3">
      <c r="A45" s="46">
        <v>23286</v>
      </c>
      <c r="B45" s="46" t="s">
        <v>621</v>
      </c>
      <c r="C45" s="46" t="s">
        <v>622</v>
      </c>
      <c r="D45" s="46" t="s">
        <v>538</v>
      </c>
      <c r="E45" s="46" t="s">
        <v>539</v>
      </c>
      <c r="F45" s="46" t="s">
        <v>517</v>
      </c>
      <c r="G45" s="47">
        <v>41129</v>
      </c>
      <c r="H45" s="48">
        <f t="shared" si="0"/>
        <v>8</v>
      </c>
      <c r="I45" s="49">
        <v>69</v>
      </c>
      <c r="J45" s="50">
        <v>9</v>
      </c>
      <c r="K45" s="51">
        <f t="shared" si="1"/>
        <v>621</v>
      </c>
    </row>
    <row r="46" spans="1:11" x14ac:dyDescent="0.3">
      <c r="A46" s="46">
        <v>23373</v>
      </c>
      <c r="B46" s="46" t="s">
        <v>623</v>
      </c>
      <c r="C46" s="46" t="s">
        <v>624</v>
      </c>
      <c r="D46" s="46" t="s">
        <v>572</v>
      </c>
      <c r="E46" s="46" t="s">
        <v>573</v>
      </c>
      <c r="F46" s="46" t="s">
        <v>517</v>
      </c>
      <c r="G46" s="47">
        <v>41114</v>
      </c>
      <c r="H46" s="48">
        <f t="shared" si="0"/>
        <v>7</v>
      </c>
      <c r="I46" s="49">
        <v>95</v>
      </c>
      <c r="J46" s="50">
        <v>6.5</v>
      </c>
      <c r="K46" s="51">
        <f t="shared" si="1"/>
        <v>617.5</v>
      </c>
    </row>
    <row r="47" spans="1:11" x14ac:dyDescent="0.3">
      <c r="A47" s="46">
        <v>23380</v>
      </c>
      <c r="B47" s="46" t="s">
        <v>625</v>
      </c>
      <c r="C47" s="46" t="s">
        <v>626</v>
      </c>
      <c r="D47" s="46" t="s">
        <v>613</v>
      </c>
      <c r="E47" s="46" t="s">
        <v>614</v>
      </c>
      <c r="F47" s="46" t="s">
        <v>523</v>
      </c>
      <c r="G47" s="47">
        <v>41112</v>
      </c>
      <c r="H47" s="48">
        <f t="shared" si="0"/>
        <v>7</v>
      </c>
      <c r="I47" s="49">
        <v>95</v>
      </c>
      <c r="J47" s="50">
        <v>6.5</v>
      </c>
      <c r="K47" s="51">
        <f t="shared" si="1"/>
        <v>617.5</v>
      </c>
    </row>
    <row r="48" spans="1:11" x14ac:dyDescent="0.3">
      <c r="A48" s="46">
        <v>23284</v>
      </c>
      <c r="B48" s="46" t="s">
        <v>627</v>
      </c>
      <c r="C48" s="46" t="s">
        <v>628</v>
      </c>
      <c r="D48" s="46" t="s">
        <v>586</v>
      </c>
      <c r="E48" s="46" t="s">
        <v>587</v>
      </c>
      <c r="F48" s="46" t="s">
        <v>523</v>
      </c>
      <c r="G48" s="47">
        <v>41077</v>
      </c>
      <c r="H48" s="48">
        <f t="shared" si="0"/>
        <v>6</v>
      </c>
      <c r="I48" s="49">
        <v>135</v>
      </c>
      <c r="J48" s="50">
        <v>4.5</v>
      </c>
      <c r="K48" s="51">
        <f t="shared" si="1"/>
        <v>607.5</v>
      </c>
    </row>
    <row r="49" spans="1:11" x14ac:dyDescent="0.3">
      <c r="A49" s="46">
        <v>23306</v>
      </c>
      <c r="B49" s="46" t="s">
        <v>629</v>
      </c>
      <c r="C49" s="46" t="s">
        <v>630</v>
      </c>
      <c r="D49" s="46" t="s">
        <v>572</v>
      </c>
      <c r="E49" s="46" t="s">
        <v>573</v>
      </c>
      <c r="F49" s="46" t="s">
        <v>517</v>
      </c>
      <c r="G49" s="47">
        <v>41068</v>
      </c>
      <c r="H49" s="48">
        <f t="shared" si="0"/>
        <v>6</v>
      </c>
      <c r="I49" s="49">
        <v>93</v>
      </c>
      <c r="J49" s="50">
        <v>6.5</v>
      </c>
      <c r="K49" s="51">
        <f t="shared" si="1"/>
        <v>604.5</v>
      </c>
    </row>
    <row r="50" spans="1:11" x14ac:dyDescent="0.3">
      <c r="A50" s="46">
        <v>23281</v>
      </c>
      <c r="B50" s="46" t="s">
        <v>631</v>
      </c>
      <c r="C50" s="46" t="s">
        <v>632</v>
      </c>
      <c r="D50" s="46" t="s">
        <v>610</v>
      </c>
      <c r="E50" s="46" t="s">
        <v>611</v>
      </c>
      <c r="F50" s="46" t="s">
        <v>523</v>
      </c>
      <c r="G50" s="47">
        <v>41103</v>
      </c>
      <c r="H50" s="48">
        <f t="shared" si="0"/>
        <v>7</v>
      </c>
      <c r="I50" s="49">
        <v>134</v>
      </c>
      <c r="J50" s="50">
        <v>4.5</v>
      </c>
      <c r="K50" s="51">
        <f t="shared" si="1"/>
        <v>603</v>
      </c>
    </row>
    <row r="51" spans="1:11" x14ac:dyDescent="0.3">
      <c r="A51" s="46">
        <v>23351</v>
      </c>
      <c r="B51" s="46" t="s">
        <v>633</v>
      </c>
      <c r="C51" s="46" t="s">
        <v>634</v>
      </c>
      <c r="D51" s="46" t="s">
        <v>600</v>
      </c>
      <c r="E51" s="46" t="s">
        <v>601</v>
      </c>
      <c r="F51" s="46" t="s">
        <v>517</v>
      </c>
      <c r="G51" s="47">
        <v>41124</v>
      </c>
      <c r="H51" s="48">
        <f t="shared" si="0"/>
        <v>8</v>
      </c>
      <c r="I51" s="49">
        <v>151</v>
      </c>
      <c r="J51" s="50">
        <v>3.99</v>
      </c>
      <c r="K51" s="51">
        <f t="shared" si="1"/>
        <v>602.49</v>
      </c>
    </row>
    <row r="52" spans="1:11" x14ac:dyDescent="0.3">
      <c r="A52" s="46">
        <v>23282</v>
      </c>
      <c r="B52" s="46" t="s">
        <v>635</v>
      </c>
      <c r="C52" s="46" t="s">
        <v>636</v>
      </c>
      <c r="D52" s="46" t="s">
        <v>576</v>
      </c>
      <c r="E52" s="46" t="s">
        <v>577</v>
      </c>
      <c r="F52" s="46" t="s">
        <v>523</v>
      </c>
      <c r="G52" s="47">
        <v>41142</v>
      </c>
      <c r="H52" s="48">
        <f t="shared" si="0"/>
        <v>8</v>
      </c>
      <c r="I52" s="49">
        <v>100</v>
      </c>
      <c r="J52" s="50">
        <v>6</v>
      </c>
      <c r="K52" s="51">
        <f t="shared" si="1"/>
        <v>600</v>
      </c>
    </row>
    <row r="53" spans="1:11" x14ac:dyDescent="0.3">
      <c r="A53" s="46">
        <v>23376</v>
      </c>
      <c r="B53" s="46" t="s">
        <v>637</v>
      </c>
      <c r="C53" s="46" t="s">
        <v>638</v>
      </c>
      <c r="D53" s="46" t="s">
        <v>558</v>
      </c>
      <c r="E53" s="46" t="s">
        <v>559</v>
      </c>
      <c r="F53" s="46" t="s">
        <v>520</v>
      </c>
      <c r="G53" s="47">
        <v>41113</v>
      </c>
      <c r="H53" s="48">
        <f t="shared" si="0"/>
        <v>7</v>
      </c>
      <c r="I53" s="49">
        <v>85</v>
      </c>
      <c r="J53" s="50">
        <v>6.99</v>
      </c>
      <c r="K53" s="51">
        <f t="shared" si="1"/>
        <v>594.15</v>
      </c>
    </row>
    <row r="54" spans="1:11" x14ac:dyDescent="0.3">
      <c r="A54" s="46">
        <v>23354</v>
      </c>
      <c r="B54" s="46" t="s">
        <v>639</v>
      </c>
      <c r="C54" s="46" t="s">
        <v>640</v>
      </c>
      <c r="D54" s="46" t="s">
        <v>558</v>
      </c>
      <c r="E54" s="46" t="s">
        <v>559</v>
      </c>
      <c r="F54" s="46" t="s">
        <v>517</v>
      </c>
      <c r="G54" s="47">
        <v>41124</v>
      </c>
      <c r="H54" s="48">
        <f t="shared" si="0"/>
        <v>8</v>
      </c>
      <c r="I54" s="49">
        <v>84</v>
      </c>
      <c r="J54" s="50">
        <v>6.99</v>
      </c>
      <c r="K54" s="51">
        <f t="shared" si="1"/>
        <v>587.16</v>
      </c>
    </row>
    <row r="55" spans="1:11" x14ac:dyDescent="0.3">
      <c r="A55" s="46">
        <v>23337</v>
      </c>
      <c r="B55" s="46" t="s">
        <v>641</v>
      </c>
      <c r="C55" s="46" t="s">
        <v>642</v>
      </c>
      <c r="D55" s="46" t="s">
        <v>558</v>
      </c>
      <c r="E55" s="46" t="s">
        <v>559</v>
      </c>
      <c r="F55" s="46" t="s">
        <v>523</v>
      </c>
      <c r="G55" s="47">
        <v>41097</v>
      </c>
      <c r="H55" s="48">
        <f t="shared" si="0"/>
        <v>7</v>
      </c>
      <c r="I55" s="49">
        <v>82</v>
      </c>
      <c r="J55" s="50">
        <v>6.99</v>
      </c>
      <c r="K55" s="51">
        <f t="shared" si="1"/>
        <v>573.18000000000006</v>
      </c>
    </row>
    <row r="56" spans="1:11" x14ac:dyDescent="0.3">
      <c r="A56" s="46">
        <v>23326</v>
      </c>
      <c r="B56" s="46" t="s">
        <v>643</v>
      </c>
      <c r="C56" s="46" t="s">
        <v>644</v>
      </c>
      <c r="D56" s="46" t="s">
        <v>610</v>
      </c>
      <c r="E56" s="46" t="s">
        <v>611</v>
      </c>
      <c r="F56" s="46" t="s">
        <v>523</v>
      </c>
      <c r="G56" s="47">
        <v>41142</v>
      </c>
      <c r="H56" s="48">
        <f t="shared" si="0"/>
        <v>8</v>
      </c>
      <c r="I56" s="49">
        <v>126</v>
      </c>
      <c r="J56" s="50">
        <v>4.5</v>
      </c>
      <c r="K56" s="51">
        <f t="shared" si="1"/>
        <v>567</v>
      </c>
    </row>
    <row r="57" spans="1:11" x14ac:dyDescent="0.3">
      <c r="A57" s="46">
        <v>23316</v>
      </c>
      <c r="B57" s="46" t="s">
        <v>645</v>
      </c>
      <c r="C57" s="46" t="s">
        <v>646</v>
      </c>
      <c r="D57" s="46" t="s">
        <v>600</v>
      </c>
      <c r="E57" s="46" t="s">
        <v>601</v>
      </c>
      <c r="F57" s="46" t="s">
        <v>523</v>
      </c>
      <c r="G57" s="47">
        <v>41061</v>
      </c>
      <c r="H57" s="48">
        <f t="shared" si="0"/>
        <v>6</v>
      </c>
      <c r="I57" s="49">
        <v>137</v>
      </c>
      <c r="J57" s="50">
        <v>3.99</v>
      </c>
      <c r="K57" s="51">
        <f t="shared" si="1"/>
        <v>546.63</v>
      </c>
    </row>
    <row r="58" spans="1:11" x14ac:dyDescent="0.3">
      <c r="A58" s="46">
        <v>23362</v>
      </c>
      <c r="B58" s="46" t="s">
        <v>647</v>
      </c>
      <c r="C58" s="46" t="s">
        <v>648</v>
      </c>
      <c r="D58" s="46" t="s">
        <v>649</v>
      </c>
      <c r="E58" s="46" t="s">
        <v>650</v>
      </c>
      <c r="F58" s="46" t="s">
        <v>517</v>
      </c>
      <c r="G58" s="47">
        <v>41139</v>
      </c>
      <c r="H58" s="48">
        <f t="shared" si="0"/>
        <v>8</v>
      </c>
      <c r="I58" s="49">
        <v>179</v>
      </c>
      <c r="J58" s="50">
        <v>3</v>
      </c>
      <c r="K58" s="51">
        <f t="shared" si="1"/>
        <v>537</v>
      </c>
    </row>
    <row r="59" spans="1:11" x14ac:dyDescent="0.3">
      <c r="A59" s="46">
        <v>23296</v>
      </c>
      <c r="B59" s="46" t="s">
        <v>651</v>
      </c>
      <c r="C59" s="46" t="s">
        <v>652</v>
      </c>
      <c r="D59" s="46" t="s">
        <v>515</v>
      </c>
      <c r="E59" s="46" t="s">
        <v>516</v>
      </c>
      <c r="F59" s="46" t="s">
        <v>523</v>
      </c>
      <c r="G59" s="47">
        <v>41068</v>
      </c>
      <c r="H59" s="48">
        <f t="shared" si="0"/>
        <v>6</v>
      </c>
      <c r="I59" s="49">
        <v>37</v>
      </c>
      <c r="J59" s="50">
        <v>14.5</v>
      </c>
      <c r="K59" s="51">
        <f t="shared" si="1"/>
        <v>536.5</v>
      </c>
    </row>
    <row r="60" spans="1:11" x14ac:dyDescent="0.3">
      <c r="A60" s="46">
        <v>23352</v>
      </c>
      <c r="B60" s="46" t="s">
        <v>653</v>
      </c>
      <c r="C60" s="46" t="s">
        <v>654</v>
      </c>
      <c r="D60" s="46" t="s">
        <v>576</v>
      </c>
      <c r="E60" s="46" t="s">
        <v>577</v>
      </c>
      <c r="F60" s="46" t="s">
        <v>517</v>
      </c>
      <c r="G60" s="47">
        <v>41097</v>
      </c>
      <c r="H60" s="48">
        <f t="shared" si="0"/>
        <v>7</v>
      </c>
      <c r="I60" s="49">
        <v>89</v>
      </c>
      <c r="J60" s="50">
        <v>6</v>
      </c>
      <c r="K60" s="51">
        <f t="shared" si="1"/>
        <v>534</v>
      </c>
    </row>
    <row r="61" spans="1:11" x14ac:dyDescent="0.3">
      <c r="A61" s="46">
        <v>23304</v>
      </c>
      <c r="B61" s="46" t="s">
        <v>655</v>
      </c>
      <c r="C61" s="46" t="s">
        <v>656</v>
      </c>
      <c r="D61" s="46" t="s">
        <v>600</v>
      </c>
      <c r="E61" s="46" t="s">
        <v>601</v>
      </c>
      <c r="F61" s="46" t="s">
        <v>523</v>
      </c>
      <c r="G61" s="47">
        <v>41061</v>
      </c>
      <c r="H61" s="48">
        <f t="shared" si="0"/>
        <v>6</v>
      </c>
      <c r="I61" s="49">
        <v>131</v>
      </c>
      <c r="J61" s="50">
        <v>3.99</v>
      </c>
      <c r="K61" s="51">
        <f t="shared" si="1"/>
        <v>522.69000000000005</v>
      </c>
    </row>
    <row r="62" spans="1:11" x14ac:dyDescent="0.3">
      <c r="A62" s="46">
        <v>23369</v>
      </c>
      <c r="B62" s="46" t="s">
        <v>657</v>
      </c>
      <c r="C62" s="46" t="s">
        <v>658</v>
      </c>
      <c r="D62" s="46" t="s">
        <v>613</v>
      </c>
      <c r="E62" s="46" t="s">
        <v>614</v>
      </c>
      <c r="F62" s="46" t="s">
        <v>523</v>
      </c>
      <c r="G62" s="47">
        <v>41092</v>
      </c>
      <c r="H62" s="48">
        <f t="shared" si="0"/>
        <v>7</v>
      </c>
      <c r="I62" s="49">
        <v>77</v>
      </c>
      <c r="J62" s="50">
        <v>6.5</v>
      </c>
      <c r="K62" s="51">
        <f t="shared" si="1"/>
        <v>500.5</v>
      </c>
    </row>
    <row r="63" spans="1:11" x14ac:dyDescent="0.3">
      <c r="A63" s="46">
        <v>23268</v>
      </c>
      <c r="B63" s="46" t="s">
        <v>659</v>
      </c>
      <c r="C63" s="46" t="s">
        <v>660</v>
      </c>
      <c r="D63" s="46" t="s">
        <v>576</v>
      </c>
      <c r="E63" s="46" t="s">
        <v>577</v>
      </c>
      <c r="F63" s="46" t="s">
        <v>517</v>
      </c>
      <c r="G63" s="47">
        <v>41102</v>
      </c>
      <c r="H63" s="48">
        <f t="shared" si="0"/>
        <v>7</v>
      </c>
      <c r="I63" s="49">
        <v>82</v>
      </c>
      <c r="J63" s="50">
        <v>6</v>
      </c>
      <c r="K63" s="51">
        <f t="shared" si="1"/>
        <v>492</v>
      </c>
    </row>
    <row r="64" spans="1:11" x14ac:dyDescent="0.3">
      <c r="A64" s="46">
        <v>23315</v>
      </c>
      <c r="B64" s="46" t="s">
        <v>661</v>
      </c>
      <c r="C64" s="46" t="s">
        <v>533</v>
      </c>
      <c r="D64" s="46" t="s">
        <v>586</v>
      </c>
      <c r="E64" s="46" t="s">
        <v>587</v>
      </c>
      <c r="F64" s="46" t="s">
        <v>523</v>
      </c>
      <c r="G64" s="47">
        <v>41102</v>
      </c>
      <c r="H64" s="48">
        <f t="shared" si="0"/>
        <v>7</v>
      </c>
      <c r="I64" s="49">
        <v>109</v>
      </c>
      <c r="J64" s="50">
        <v>4.5</v>
      </c>
      <c r="K64" s="51">
        <f t="shared" si="1"/>
        <v>490.5</v>
      </c>
    </row>
    <row r="65" spans="1:11" x14ac:dyDescent="0.3">
      <c r="A65" s="46">
        <v>23342</v>
      </c>
      <c r="B65" s="46" t="s">
        <v>662</v>
      </c>
      <c r="C65" s="46" t="s">
        <v>663</v>
      </c>
      <c r="D65" s="46" t="s">
        <v>600</v>
      </c>
      <c r="E65" s="46" t="s">
        <v>601</v>
      </c>
      <c r="F65" s="46" t="s">
        <v>517</v>
      </c>
      <c r="G65" s="47">
        <v>41088</v>
      </c>
      <c r="H65" s="48">
        <f t="shared" si="0"/>
        <v>6</v>
      </c>
      <c r="I65" s="49">
        <v>122</v>
      </c>
      <c r="J65" s="50">
        <v>3.99</v>
      </c>
      <c r="K65" s="51">
        <f t="shared" si="1"/>
        <v>486.78000000000003</v>
      </c>
    </row>
    <row r="66" spans="1:11" x14ac:dyDescent="0.3">
      <c r="A66" s="46">
        <v>23333</v>
      </c>
      <c r="B66" s="46" t="s">
        <v>664</v>
      </c>
      <c r="C66" s="46" t="s">
        <v>591</v>
      </c>
      <c r="D66" s="46" t="s">
        <v>586</v>
      </c>
      <c r="E66" s="46" t="s">
        <v>587</v>
      </c>
      <c r="F66" s="46" t="s">
        <v>517</v>
      </c>
      <c r="G66" s="47">
        <v>41126</v>
      </c>
      <c r="H66" s="48">
        <f t="shared" ref="H66:H108" si="2">VALUE(MONTH(G66))</f>
        <v>8</v>
      </c>
      <c r="I66" s="49">
        <v>106</v>
      </c>
      <c r="J66" s="50">
        <v>4.5</v>
      </c>
      <c r="K66" s="51">
        <f t="shared" ref="K66:K108" si="3">J66*I66</f>
        <v>477</v>
      </c>
    </row>
    <row r="67" spans="1:11" x14ac:dyDescent="0.3">
      <c r="A67" s="46">
        <v>23263</v>
      </c>
      <c r="B67" s="46" t="s">
        <v>665</v>
      </c>
      <c r="C67" s="46" t="s">
        <v>583</v>
      </c>
      <c r="D67" s="46" t="s">
        <v>572</v>
      </c>
      <c r="E67" s="46" t="s">
        <v>573</v>
      </c>
      <c r="F67" s="46" t="s">
        <v>517</v>
      </c>
      <c r="G67" s="47">
        <v>41096</v>
      </c>
      <c r="H67" s="48">
        <f t="shared" si="2"/>
        <v>7</v>
      </c>
      <c r="I67" s="49">
        <v>73</v>
      </c>
      <c r="J67" s="50">
        <v>6.5</v>
      </c>
      <c r="K67" s="51">
        <f t="shared" si="3"/>
        <v>474.5</v>
      </c>
    </row>
    <row r="68" spans="1:11" x14ac:dyDescent="0.3">
      <c r="A68" s="46">
        <v>23270</v>
      </c>
      <c r="B68" s="46" t="s">
        <v>666</v>
      </c>
      <c r="C68" s="46" t="s">
        <v>667</v>
      </c>
      <c r="D68" s="46" t="s">
        <v>558</v>
      </c>
      <c r="E68" s="46" t="s">
        <v>559</v>
      </c>
      <c r="F68" s="46" t="s">
        <v>523</v>
      </c>
      <c r="G68" s="47">
        <v>41067</v>
      </c>
      <c r="H68" s="48">
        <f t="shared" si="2"/>
        <v>6</v>
      </c>
      <c r="I68" s="49">
        <v>67</v>
      </c>
      <c r="J68" s="50">
        <v>6.99</v>
      </c>
      <c r="K68" s="51">
        <f t="shared" si="3"/>
        <v>468.33000000000004</v>
      </c>
    </row>
    <row r="69" spans="1:11" x14ac:dyDescent="0.3">
      <c r="A69" s="46">
        <v>23272</v>
      </c>
      <c r="B69" s="46" t="s">
        <v>668</v>
      </c>
      <c r="C69" s="46" t="s">
        <v>669</v>
      </c>
      <c r="D69" s="46" t="s">
        <v>572</v>
      </c>
      <c r="E69" s="46" t="s">
        <v>573</v>
      </c>
      <c r="F69" s="46" t="s">
        <v>520</v>
      </c>
      <c r="G69" s="47">
        <v>41121</v>
      </c>
      <c r="H69" s="48">
        <f t="shared" si="2"/>
        <v>7</v>
      </c>
      <c r="I69" s="49">
        <v>71</v>
      </c>
      <c r="J69" s="50">
        <v>6.5</v>
      </c>
      <c r="K69" s="51">
        <f t="shared" si="3"/>
        <v>461.5</v>
      </c>
    </row>
    <row r="70" spans="1:11" x14ac:dyDescent="0.3">
      <c r="A70" s="46">
        <v>23274</v>
      </c>
      <c r="B70" s="46" t="s">
        <v>670</v>
      </c>
      <c r="C70" s="46" t="s">
        <v>671</v>
      </c>
      <c r="D70" s="46" t="s">
        <v>649</v>
      </c>
      <c r="E70" s="46" t="s">
        <v>650</v>
      </c>
      <c r="F70" s="46" t="s">
        <v>523</v>
      </c>
      <c r="G70" s="47">
        <v>41143</v>
      </c>
      <c r="H70" s="48">
        <f t="shared" si="2"/>
        <v>8</v>
      </c>
      <c r="I70" s="49">
        <v>153</v>
      </c>
      <c r="J70" s="50">
        <v>3</v>
      </c>
      <c r="K70" s="51">
        <f t="shared" si="3"/>
        <v>459</v>
      </c>
    </row>
    <row r="71" spans="1:11" x14ac:dyDescent="0.3">
      <c r="A71" s="46">
        <v>23364</v>
      </c>
      <c r="B71" s="46" t="s">
        <v>672</v>
      </c>
      <c r="C71" s="46" t="s">
        <v>673</v>
      </c>
      <c r="D71" s="46" t="s">
        <v>538</v>
      </c>
      <c r="E71" s="46" t="s">
        <v>539</v>
      </c>
      <c r="F71" s="46" t="s">
        <v>517</v>
      </c>
      <c r="G71" s="47">
        <v>41093</v>
      </c>
      <c r="H71" s="48">
        <f t="shared" si="2"/>
        <v>7</v>
      </c>
      <c r="I71" s="49">
        <v>47</v>
      </c>
      <c r="J71" s="50">
        <v>9</v>
      </c>
      <c r="K71" s="51">
        <f t="shared" si="3"/>
        <v>423</v>
      </c>
    </row>
    <row r="72" spans="1:11" x14ac:dyDescent="0.3">
      <c r="A72" s="46">
        <v>23276</v>
      </c>
      <c r="B72" s="46" t="s">
        <v>674</v>
      </c>
      <c r="C72" s="46" t="s">
        <v>675</v>
      </c>
      <c r="D72" s="46" t="s">
        <v>613</v>
      </c>
      <c r="E72" s="46" t="s">
        <v>614</v>
      </c>
      <c r="F72" s="46" t="s">
        <v>517</v>
      </c>
      <c r="G72" s="47">
        <v>41122</v>
      </c>
      <c r="H72" s="48">
        <f t="shared" si="2"/>
        <v>8</v>
      </c>
      <c r="I72" s="49">
        <v>65</v>
      </c>
      <c r="J72" s="50">
        <v>6.5</v>
      </c>
      <c r="K72" s="51">
        <f t="shared" si="3"/>
        <v>422.5</v>
      </c>
    </row>
    <row r="73" spans="1:11" x14ac:dyDescent="0.3">
      <c r="A73" s="46">
        <v>23343</v>
      </c>
      <c r="B73" s="46" t="s">
        <v>676</v>
      </c>
      <c r="C73" s="46" t="s">
        <v>624</v>
      </c>
      <c r="D73" s="46" t="s">
        <v>534</v>
      </c>
      <c r="E73" s="46" t="s">
        <v>535</v>
      </c>
      <c r="F73" s="46" t="s">
        <v>517</v>
      </c>
      <c r="G73" s="47">
        <v>41144</v>
      </c>
      <c r="H73" s="48">
        <f t="shared" si="2"/>
        <v>8</v>
      </c>
      <c r="I73" s="49">
        <v>42</v>
      </c>
      <c r="J73" s="50">
        <v>9.99</v>
      </c>
      <c r="K73" s="51">
        <f t="shared" si="3"/>
        <v>419.58</v>
      </c>
    </row>
    <row r="74" spans="1:11" x14ac:dyDescent="0.3">
      <c r="A74" s="46">
        <v>23344</v>
      </c>
      <c r="B74" s="46" t="s">
        <v>677</v>
      </c>
      <c r="C74" s="46" t="s">
        <v>678</v>
      </c>
      <c r="D74" s="46" t="s">
        <v>572</v>
      </c>
      <c r="E74" s="46" t="s">
        <v>573</v>
      </c>
      <c r="F74" s="46" t="s">
        <v>517</v>
      </c>
      <c r="G74" s="47">
        <v>41265</v>
      </c>
      <c r="H74" s="48">
        <f t="shared" si="2"/>
        <v>12</v>
      </c>
      <c r="I74" s="49">
        <v>64</v>
      </c>
      <c r="J74" s="50">
        <v>6.5</v>
      </c>
      <c r="K74" s="51">
        <f t="shared" si="3"/>
        <v>416</v>
      </c>
    </row>
    <row r="75" spans="1:11" x14ac:dyDescent="0.3">
      <c r="A75" s="46">
        <v>23299</v>
      </c>
      <c r="B75" s="46" t="s">
        <v>679</v>
      </c>
      <c r="C75" s="46" t="s">
        <v>638</v>
      </c>
      <c r="D75" s="46" t="s">
        <v>600</v>
      </c>
      <c r="E75" s="46" t="s">
        <v>601</v>
      </c>
      <c r="F75" s="46" t="s">
        <v>523</v>
      </c>
      <c r="G75" s="47">
        <v>41087</v>
      </c>
      <c r="H75" s="48">
        <f t="shared" si="2"/>
        <v>6</v>
      </c>
      <c r="I75" s="49">
        <v>104</v>
      </c>
      <c r="J75" s="50">
        <v>3.99</v>
      </c>
      <c r="K75" s="51">
        <f t="shared" si="3"/>
        <v>414.96000000000004</v>
      </c>
    </row>
    <row r="76" spans="1:11" x14ac:dyDescent="0.3">
      <c r="A76" s="46">
        <v>23310</v>
      </c>
      <c r="B76" s="46" t="s">
        <v>680</v>
      </c>
      <c r="C76" s="46" t="s">
        <v>525</v>
      </c>
      <c r="D76" s="46" t="s">
        <v>534</v>
      </c>
      <c r="E76" s="46" t="s">
        <v>535</v>
      </c>
      <c r="F76" s="46" t="s">
        <v>517</v>
      </c>
      <c r="G76" s="47">
        <v>41077</v>
      </c>
      <c r="H76" s="48">
        <f t="shared" si="2"/>
        <v>6</v>
      </c>
      <c r="I76" s="49">
        <v>41</v>
      </c>
      <c r="J76" s="50">
        <v>9.99</v>
      </c>
      <c r="K76" s="51">
        <f t="shared" si="3"/>
        <v>409.59000000000003</v>
      </c>
    </row>
    <row r="77" spans="1:11" x14ac:dyDescent="0.3">
      <c r="A77" s="46">
        <v>23358</v>
      </c>
      <c r="B77" s="46" t="s">
        <v>681</v>
      </c>
      <c r="C77" s="46" t="s">
        <v>682</v>
      </c>
      <c r="D77" s="46" t="s">
        <v>534</v>
      </c>
      <c r="E77" s="46" t="s">
        <v>535</v>
      </c>
      <c r="F77" s="46" t="s">
        <v>523</v>
      </c>
      <c r="G77" s="47">
        <v>41071</v>
      </c>
      <c r="H77" s="48">
        <f t="shared" si="2"/>
        <v>6</v>
      </c>
      <c r="I77" s="49">
        <v>41</v>
      </c>
      <c r="J77" s="50">
        <v>9.99</v>
      </c>
      <c r="K77" s="51">
        <f t="shared" si="3"/>
        <v>409.59000000000003</v>
      </c>
    </row>
    <row r="78" spans="1:11" x14ac:dyDescent="0.3">
      <c r="A78" s="46">
        <v>23323</v>
      </c>
      <c r="B78" s="46" t="s">
        <v>683</v>
      </c>
      <c r="C78" s="46" t="s">
        <v>684</v>
      </c>
      <c r="D78" s="46" t="s">
        <v>649</v>
      </c>
      <c r="E78" s="46" t="s">
        <v>650</v>
      </c>
      <c r="F78" s="46" t="s">
        <v>517</v>
      </c>
      <c r="G78" s="47">
        <v>41272</v>
      </c>
      <c r="H78" s="48">
        <f t="shared" si="2"/>
        <v>12</v>
      </c>
      <c r="I78" s="49">
        <v>135</v>
      </c>
      <c r="J78" s="50">
        <v>3</v>
      </c>
      <c r="K78" s="51">
        <f t="shared" si="3"/>
        <v>405</v>
      </c>
    </row>
    <row r="79" spans="1:11" x14ac:dyDescent="0.3">
      <c r="A79" s="46">
        <v>23267</v>
      </c>
      <c r="B79" s="46" t="s">
        <v>685</v>
      </c>
      <c r="C79" s="46" t="s">
        <v>686</v>
      </c>
      <c r="D79" s="46" t="s">
        <v>649</v>
      </c>
      <c r="E79" s="46" t="s">
        <v>650</v>
      </c>
      <c r="F79" s="46" t="s">
        <v>517</v>
      </c>
      <c r="G79" s="47">
        <v>41101</v>
      </c>
      <c r="H79" s="48">
        <f t="shared" si="2"/>
        <v>7</v>
      </c>
      <c r="I79" s="49">
        <v>129</v>
      </c>
      <c r="J79" s="50">
        <v>3</v>
      </c>
      <c r="K79" s="51">
        <f t="shared" si="3"/>
        <v>387</v>
      </c>
    </row>
    <row r="80" spans="1:11" x14ac:dyDescent="0.3">
      <c r="A80" s="46">
        <v>23340</v>
      </c>
      <c r="B80" s="46" t="s">
        <v>687</v>
      </c>
      <c r="C80" s="46" t="s">
        <v>688</v>
      </c>
      <c r="D80" s="46" t="s">
        <v>610</v>
      </c>
      <c r="E80" s="46" t="s">
        <v>611</v>
      </c>
      <c r="F80" s="46" t="s">
        <v>517</v>
      </c>
      <c r="G80" s="47">
        <v>41095</v>
      </c>
      <c r="H80" s="48">
        <f t="shared" si="2"/>
        <v>7</v>
      </c>
      <c r="I80" s="49">
        <v>85</v>
      </c>
      <c r="J80" s="50">
        <v>4.5</v>
      </c>
      <c r="K80" s="51">
        <f t="shared" si="3"/>
        <v>382.5</v>
      </c>
    </row>
    <row r="81" spans="1:11" x14ac:dyDescent="0.3">
      <c r="A81" s="46">
        <v>23269</v>
      </c>
      <c r="B81" s="46" t="s">
        <v>689</v>
      </c>
      <c r="C81" s="46" t="s">
        <v>671</v>
      </c>
      <c r="D81" s="46" t="s">
        <v>649</v>
      </c>
      <c r="E81" s="46" t="s">
        <v>650</v>
      </c>
      <c r="F81" s="46" t="s">
        <v>517</v>
      </c>
      <c r="G81" s="47">
        <v>41063</v>
      </c>
      <c r="H81" s="48">
        <f t="shared" si="2"/>
        <v>6</v>
      </c>
      <c r="I81" s="49">
        <v>116</v>
      </c>
      <c r="J81" s="50">
        <v>3</v>
      </c>
      <c r="K81" s="51">
        <f t="shared" si="3"/>
        <v>348</v>
      </c>
    </row>
    <row r="82" spans="1:11" x14ac:dyDescent="0.3">
      <c r="A82" s="46">
        <v>23308</v>
      </c>
      <c r="B82" s="46" t="s">
        <v>690</v>
      </c>
      <c r="C82" s="46" t="s">
        <v>691</v>
      </c>
      <c r="D82" s="46" t="s">
        <v>649</v>
      </c>
      <c r="E82" s="46" t="s">
        <v>650</v>
      </c>
      <c r="F82" s="46" t="s">
        <v>523</v>
      </c>
      <c r="G82" s="47">
        <v>41099</v>
      </c>
      <c r="H82" s="48">
        <f t="shared" si="2"/>
        <v>7</v>
      </c>
      <c r="I82" s="49">
        <v>112</v>
      </c>
      <c r="J82" s="50">
        <v>3</v>
      </c>
      <c r="K82" s="51">
        <f t="shared" si="3"/>
        <v>336</v>
      </c>
    </row>
    <row r="83" spans="1:11" x14ac:dyDescent="0.3">
      <c r="A83" s="46">
        <v>23356</v>
      </c>
      <c r="B83" s="46" t="s">
        <v>692</v>
      </c>
      <c r="C83" s="46" t="s">
        <v>693</v>
      </c>
      <c r="D83" s="46" t="s">
        <v>600</v>
      </c>
      <c r="E83" s="46" t="s">
        <v>601</v>
      </c>
      <c r="F83" s="46" t="s">
        <v>517</v>
      </c>
      <c r="G83" s="47">
        <v>41081</v>
      </c>
      <c r="H83" s="48">
        <f t="shared" si="2"/>
        <v>6</v>
      </c>
      <c r="I83" s="49">
        <v>80</v>
      </c>
      <c r="J83" s="50">
        <v>3.99</v>
      </c>
      <c r="K83" s="51">
        <f t="shared" si="3"/>
        <v>319.20000000000005</v>
      </c>
    </row>
    <row r="84" spans="1:11" x14ac:dyDescent="0.3">
      <c r="A84" s="46">
        <v>23318</v>
      </c>
      <c r="B84" s="46" t="s">
        <v>694</v>
      </c>
      <c r="C84" s="46" t="s">
        <v>695</v>
      </c>
      <c r="D84" s="46" t="s">
        <v>572</v>
      </c>
      <c r="E84" s="46" t="s">
        <v>573</v>
      </c>
      <c r="F84" s="46" t="s">
        <v>517</v>
      </c>
      <c r="G84" s="47">
        <v>41099</v>
      </c>
      <c r="H84" s="48">
        <f t="shared" si="2"/>
        <v>7</v>
      </c>
      <c r="I84" s="49">
        <v>48</v>
      </c>
      <c r="J84" s="50">
        <v>6.5</v>
      </c>
      <c r="K84" s="51">
        <f t="shared" si="3"/>
        <v>312</v>
      </c>
    </row>
    <row r="85" spans="1:11" x14ac:dyDescent="0.3">
      <c r="A85" s="46">
        <v>23357</v>
      </c>
      <c r="B85" s="46" t="s">
        <v>696</v>
      </c>
      <c r="C85" s="46" t="s">
        <v>652</v>
      </c>
      <c r="D85" s="46" t="s">
        <v>576</v>
      </c>
      <c r="E85" s="46" t="s">
        <v>577</v>
      </c>
      <c r="F85" s="46" t="s">
        <v>523</v>
      </c>
      <c r="G85" s="47">
        <v>41107</v>
      </c>
      <c r="H85" s="48">
        <f t="shared" si="2"/>
        <v>7</v>
      </c>
      <c r="I85" s="49">
        <v>50</v>
      </c>
      <c r="J85" s="50">
        <v>6</v>
      </c>
      <c r="K85" s="51">
        <f t="shared" si="3"/>
        <v>300</v>
      </c>
    </row>
    <row r="86" spans="1:11" x14ac:dyDescent="0.3">
      <c r="A86" s="46">
        <v>23377</v>
      </c>
      <c r="B86" s="46" t="s">
        <v>697</v>
      </c>
      <c r="C86" s="46" t="s">
        <v>640</v>
      </c>
      <c r="D86" s="46" t="s">
        <v>613</v>
      </c>
      <c r="E86" s="46" t="s">
        <v>614</v>
      </c>
      <c r="F86" s="46" t="s">
        <v>517</v>
      </c>
      <c r="G86" s="47">
        <v>41075</v>
      </c>
      <c r="H86" s="48">
        <f t="shared" si="2"/>
        <v>6</v>
      </c>
      <c r="I86" s="49">
        <v>43</v>
      </c>
      <c r="J86" s="50">
        <v>6.5</v>
      </c>
      <c r="K86" s="51">
        <f t="shared" si="3"/>
        <v>279.5</v>
      </c>
    </row>
    <row r="87" spans="1:11" x14ac:dyDescent="0.3">
      <c r="A87" s="46">
        <v>23311</v>
      </c>
      <c r="B87" s="46" t="s">
        <v>698</v>
      </c>
      <c r="C87" s="46" t="s">
        <v>699</v>
      </c>
      <c r="D87" s="46" t="s">
        <v>515</v>
      </c>
      <c r="E87" s="46" t="s">
        <v>516</v>
      </c>
      <c r="F87" s="46" t="s">
        <v>523</v>
      </c>
      <c r="G87" s="47">
        <v>41072</v>
      </c>
      <c r="H87" s="48">
        <f t="shared" si="2"/>
        <v>6</v>
      </c>
      <c r="I87" s="49">
        <v>18</v>
      </c>
      <c r="J87" s="50">
        <v>14.5</v>
      </c>
      <c r="K87" s="51">
        <f t="shared" si="3"/>
        <v>261</v>
      </c>
    </row>
    <row r="88" spans="1:11" x14ac:dyDescent="0.3">
      <c r="A88" s="46">
        <v>23379</v>
      </c>
      <c r="B88" s="46" t="s">
        <v>700</v>
      </c>
      <c r="C88" s="46" t="s">
        <v>701</v>
      </c>
      <c r="D88" s="46" t="s">
        <v>600</v>
      </c>
      <c r="E88" s="46" t="s">
        <v>601</v>
      </c>
      <c r="F88" s="46" t="s">
        <v>517</v>
      </c>
      <c r="G88" s="47">
        <v>41270</v>
      </c>
      <c r="H88" s="48">
        <f t="shared" si="2"/>
        <v>12</v>
      </c>
      <c r="I88" s="49">
        <v>65</v>
      </c>
      <c r="J88" s="50">
        <v>3.99</v>
      </c>
      <c r="K88" s="51">
        <f t="shared" si="3"/>
        <v>259.35000000000002</v>
      </c>
    </row>
    <row r="89" spans="1:11" x14ac:dyDescent="0.3">
      <c r="A89" s="46">
        <v>23360</v>
      </c>
      <c r="B89" s="46" t="s">
        <v>702</v>
      </c>
      <c r="C89" s="46" t="s">
        <v>686</v>
      </c>
      <c r="D89" s="46" t="s">
        <v>558</v>
      </c>
      <c r="E89" s="46" t="s">
        <v>559</v>
      </c>
      <c r="F89" s="46" t="s">
        <v>517</v>
      </c>
      <c r="G89" s="47">
        <v>41073</v>
      </c>
      <c r="H89" s="48">
        <f t="shared" si="2"/>
        <v>6</v>
      </c>
      <c r="I89" s="49">
        <v>37</v>
      </c>
      <c r="J89" s="50">
        <v>6.99</v>
      </c>
      <c r="K89" s="51">
        <f t="shared" si="3"/>
        <v>258.63</v>
      </c>
    </row>
    <row r="90" spans="1:11" x14ac:dyDescent="0.3">
      <c r="A90" s="46">
        <v>23339</v>
      </c>
      <c r="B90" s="46" t="s">
        <v>703</v>
      </c>
      <c r="C90" s="46" t="s">
        <v>704</v>
      </c>
      <c r="D90" s="46" t="s">
        <v>576</v>
      </c>
      <c r="E90" s="46" t="s">
        <v>577</v>
      </c>
      <c r="F90" s="46" t="s">
        <v>517</v>
      </c>
      <c r="G90" s="47">
        <v>41101</v>
      </c>
      <c r="H90" s="48">
        <f t="shared" si="2"/>
        <v>7</v>
      </c>
      <c r="I90" s="49">
        <v>41</v>
      </c>
      <c r="J90" s="50">
        <v>6</v>
      </c>
      <c r="K90" s="51">
        <f t="shared" si="3"/>
        <v>246</v>
      </c>
    </row>
    <row r="91" spans="1:11" x14ac:dyDescent="0.3">
      <c r="A91" s="46">
        <v>23341</v>
      </c>
      <c r="B91" s="46" t="s">
        <v>705</v>
      </c>
      <c r="C91" s="46" t="s">
        <v>706</v>
      </c>
      <c r="D91" s="46" t="s">
        <v>649</v>
      </c>
      <c r="E91" s="46" t="s">
        <v>650</v>
      </c>
      <c r="F91" s="46" t="s">
        <v>523</v>
      </c>
      <c r="G91" s="47">
        <v>41026</v>
      </c>
      <c r="H91" s="48">
        <f t="shared" si="2"/>
        <v>4</v>
      </c>
      <c r="I91" s="49">
        <v>77</v>
      </c>
      <c r="J91" s="50">
        <v>3</v>
      </c>
      <c r="K91" s="51">
        <f t="shared" si="3"/>
        <v>231</v>
      </c>
    </row>
    <row r="92" spans="1:11" x14ac:dyDescent="0.3">
      <c r="A92" s="46">
        <v>23374</v>
      </c>
      <c r="B92" s="46" t="s">
        <v>707</v>
      </c>
      <c r="C92" s="46" t="s">
        <v>708</v>
      </c>
      <c r="D92" s="46" t="s">
        <v>600</v>
      </c>
      <c r="E92" s="46" t="s">
        <v>601</v>
      </c>
      <c r="F92" s="46" t="s">
        <v>517</v>
      </c>
      <c r="G92" s="47">
        <v>41257</v>
      </c>
      <c r="H92" s="48">
        <f t="shared" si="2"/>
        <v>12</v>
      </c>
      <c r="I92" s="49">
        <v>57</v>
      </c>
      <c r="J92" s="50">
        <v>3.99</v>
      </c>
      <c r="K92" s="51">
        <f t="shared" si="3"/>
        <v>227.43</v>
      </c>
    </row>
    <row r="93" spans="1:11" x14ac:dyDescent="0.3">
      <c r="A93" s="46">
        <v>23273</v>
      </c>
      <c r="B93" s="46" t="s">
        <v>709</v>
      </c>
      <c r="C93" s="46" t="s">
        <v>710</v>
      </c>
      <c r="D93" s="46" t="s">
        <v>534</v>
      </c>
      <c r="E93" s="46" t="s">
        <v>535</v>
      </c>
      <c r="F93" s="46" t="s">
        <v>517</v>
      </c>
      <c r="G93" s="47">
        <v>41256</v>
      </c>
      <c r="H93" s="48">
        <f t="shared" si="2"/>
        <v>12</v>
      </c>
      <c r="I93" s="49">
        <v>22</v>
      </c>
      <c r="J93" s="50">
        <v>9.99</v>
      </c>
      <c r="K93" s="51">
        <f t="shared" si="3"/>
        <v>219.78</v>
      </c>
    </row>
    <row r="94" spans="1:11" x14ac:dyDescent="0.3">
      <c r="A94" s="46">
        <v>23280</v>
      </c>
      <c r="B94" s="46" t="s">
        <v>711</v>
      </c>
      <c r="C94" s="46" t="s">
        <v>533</v>
      </c>
      <c r="D94" s="46" t="s">
        <v>558</v>
      </c>
      <c r="E94" s="46" t="s">
        <v>559</v>
      </c>
      <c r="F94" s="46" t="s">
        <v>517</v>
      </c>
      <c r="G94" s="47">
        <v>41002</v>
      </c>
      <c r="H94" s="48">
        <f t="shared" si="2"/>
        <v>4</v>
      </c>
      <c r="I94" s="49">
        <v>30</v>
      </c>
      <c r="J94" s="50">
        <v>6.99</v>
      </c>
      <c r="K94" s="51">
        <f t="shared" si="3"/>
        <v>209.70000000000002</v>
      </c>
    </row>
    <row r="95" spans="1:11" x14ac:dyDescent="0.3">
      <c r="A95" s="46">
        <v>23370</v>
      </c>
      <c r="B95" s="46" t="s">
        <v>712</v>
      </c>
      <c r="C95" s="46" t="s">
        <v>575</v>
      </c>
      <c r="D95" s="46" t="s">
        <v>649</v>
      </c>
      <c r="E95" s="46" t="s">
        <v>650</v>
      </c>
      <c r="F95" s="46" t="s">
        <v>523</v>
      </c>
      <c r="G95" s="47">
        <v>41028</v>
      </c>
      <c r="H95" s="48">
        <f t="shared" si="2"/>
        <v>4</v>
      </c>
      <c r="I95" s="49">
        <v>63</v>
      </c>
      <c r="J95" s="50">
        <v>3</v>
      </c>
      <c r="K95" s="51">
        <f t="shared" si="3"/>
        <v>189</v>
      </c>
    </row>
    <row r="96" spans="1:11" x14ac:dyDescent="0.3">
      <c r="A96" s="46">
        <v>23372</v>
      </c>
      <c r="B96" s="46" t="s">
        <v>713</v>
      </c>
      <c r="C96" s="46" t="s">
        <v>714</v>
      </c>
      <c r="D96" s="46" t="s">
        <v>613</v>
      </c>
      <c r="E96" s="46" t="s">
        <v>614</v>
      </c>
      <c r="F96" s="46" t="s">
        <v>517</v>
      </c>
      <c r="G96" s="47">
        <v>41255</v>
      </c>
      <c r="H96" s="48">
        <f t="shared" si="2"/>
        <v>12</v>
      </c>
      <c r="I96" s="49">
        <v>22</v>
      </c>
      <c r="J96" s="50">
        <v>6.5</v>
      </c>
      <c r="K96" s="51">
        <f t="shared" si="3"/>
        <v>143</v>
      </c>
    </row>
    <row r="97" spans="1:11" x14ac:dyDescent="0.3">
      <c r="A97" s="46">
        <v>23265</v>
      </c>
      <c r="B97" s="46" t="s">
        <v>715</v>
      </c>
      <c r="C97" s="46" t="s">
        <v>716</v>
      </c>
      <c r="D97" s="46" t="s">
        <v>534</v>
      </c>
      <c r="E97" s="46" t="s">
        <v>535</v>
      </c>
      <c r="F97" s="46" t="s">
        <v>523</v>
      </c>
      <c r="G97" s="47">
        <v>41248</v>
      </c>
      <c r="H97" s="48">
        <f t="shared" si="2"/>
        <v>12</v>
      </c>
      <c r="I97" s="49">
        <v>14</v>
      </c>
      <c r="J97" s="50">
        <v>9.99</v>
      </c>
      <c r="K97" s="51">
        <f t="shared" si="3"/>
        <v>139.86000000000001</v>
      </c>
    </row>
    <row r="98" spans="1:11" x14ac:dyDescent="0.3">
      <c r="A98" s="46">
        <v>23346</v>
      </c>
      <c r="B98" s="46" t="s">
        <v>717</v>
      </c>
      <c r="C98" s="46" t="s">
        <v>632</v>
      </c>
      <c r="D98" s="46" t="s">
        <v>534</v>
      </c>
      <c r="E98" s="46" t="s">
        <v>535</v>
      </c>
      <c r="F98" s="46" t="s">
        <v>517</v>
      </c>
      <c r="G98" s="47">
        <v>41119</v>
      </c>
      <c r="H98" s="48">
        <f t="shared" si="2"/>
        <v>7</v>
      </c>
      <c r="I98" s="49">
        <v>13</v>
      </c>
      <c r="J98" s="50">
        <v>9.99</v>
      </c>
      <c r="K98" s="51">
        <f t="shared" si="3"/>
        <v>129.87</v>
      </c>
    </row>
    <row r="99" spans="1:11" x14ac:dyDescent="0.3">
      <c r="A99" s="46">
        <v>23312</v>
      </c>
      <c r="B99" s="46" t="s">
        <v>718</v>
      </c>
      <c r="C99" s="46" t="s">
        <v>719</v>
      </c>
      <c r="D99" s="46" t="s">
        <v>600</v>
      </c>
      <c r="E99" s="46" t="s">
        <v>601</v>
      </c>
      <c r="F99" s="46" t="s">
        <v>517</v>
      </c>
      <c r="G99" s="47">
        <v>41096</v>
      </c>
      <c r="H99" s="48">
        <f t="shared" si="2"/>
        <v>7</v>
      </c>
      <c r="I99" s="49">
        <v>28</v>
      </c>
      <c r="J99" s="50">
        <v>3.99</v>
      </c>
      <c r="K99" s="51">
        <f t="shared" si="3"/>
        <v>111.72</v>
      </c>
    </row>
    <row r="100" spans="1:11" x14ac:dyDescent="0.3">
      <c r="A100" s="46">
        <v>23355</v>
      </c>
      <c r="B100" s="46" t="s">
        <v>720</v>
      </c>
      <c r="C100" s="46" t="s">
        <v>628</v>
      </c>
      <c r="D100" s="46" t="s">
        <v>586</v>
      </c>
      <c r="E100" s="46" t="s">
        <v>587</v>
      </c>
      <c r="F100" s="46" t="s">
        <v>517</v>
      </c>
      <c r="G100" s="47">
        <v>41026</v>
      </c>
      <c r="H100" s="48">
        <f t="shared" si="2"/>
        <v>4</v>
      </c>
      <c r="I100" s="49">
        <v>16</v>
      </c>
      <c r="J100" s="50">
        <v>4.5</v>
      </c>
      <c r="K100" s="51">
        <f t="shared" si="3"/>
        <v>72</v>
      </c>
    </row>
    <row r="101" spans="1:11" x14ac:dyDescent="0.3">
      <c r="A101" s="46">
        <v>23322</v>
      </c>
      <c r="B101" s="46" t="s">
        <v>721</v>
      </c>
      <c r="C101" s="46" t="s">
        <v>589</v>
      </c>
      <c r="D101" s="46" t="s">
        <v>649</v>
      </c>
      <c r="E101" s="46" t="s">
        <v>650</v>
      </c>
      <c r="F101" s="46" t="s">
        <v>523</v>
      </c>
      <c r="G101" s="47">
        <v>41009</v>
      </c>
      <c r="H101" s="48">
        <f t="shared" si="2"/>
        <v>4</v>
      </c>
      <c r="I101" s="49">
        <v>20</v>
      </c>
      <c r="J101" s="50">
        <v>3</v>
      </c>
      <c r="K101" s="51">
        <f t="shared" si="3"/>
        <v>60</v>
      </c>
    </row>
    <row r="102" spans="1:11" x14ac:dyDescent="0.3">
      <c r="A102" s="46">
        <v>23298</v>
      </c>
      <c r="B102" s="46" t="s">
        <v>722</v>
      </c>
      <c r="C102" s="46" t="s">
        <v>723</v>
      </c>
      <c r="D102" s="46" t="s">
        <v>586</v>
      </c>
      <c r="E102" s="46" t="s">
        <v>587</v>
      </c>
      <c r="F102" s="46" t="s">
        <v>520</v>
      </c>
      <c r="G102" s="47">
        <v>41118</v>
      </c>
      <c r="H102" s="48">
        <f t="shared" si="2"/>
        <v>7</v>
      </c>
      <c r="I102" s="49">
        <v>12</v>
      </c>
      <c r="J102" s="50">
        <v>4.5</v>
      </c>
      <c r="K102" s="51">
        <f t="shared" si="3"/>
        <v>54</v>
      </c>
    </row>
    <row r="103" spans="1:11" x14ac:dyDescent="0.3">
      <c r="A103" s="46">
        <v>23367</v>
      </c>
      <c r="B103" s="46" t="s">
        <v>724</v>
      </c>
      <c r="C103" s="46" t="s">
        <v>725</v>
      </c>
      <c r="D103" s="46" t="s">
        <v>586</v>
      </c>
      <c r="E103" s="46" t="s">
        <v>587</v>
      </c>
      <c r="F103" s="46" t="s">
        <v>523</v>
      </c>
      <c r="G103" s="47">
        <v>41023</v>
      </c>
      <c r="H103" s="48">
        <f t="shared" si="2"/>
        <v>4</v>
      </c>
      <c r="I103" s="49">
        <v>10</v>
      </c>
      <c r="J103" s="50">
        <v>4.5</v>
      </c>
      <c r="K103" s="51">
        <f t="shared" si="3"/>
        <v>45</v>
      </c>
    </row>
    <row r="104" spans="1:11" x14ac:dyDescent="0.3">
      <c r="A104" s="46">
        <v>23334</v>
      </c>
      <c r="B104" s="46" t="s">
        <v>726</v>
      </c>
      <c r="C104" s="46" t="s">
        <v>620</v>
      </c>
      <c r="D104" s="46" t="s">
        <v>649</v>
      </c>
      <c r="E104" s="46" t="s">
        <v>650</v>
      </c>
      <c r="F104" s="46" t="s">
        <v>517</v>
      </c>
      <c r="G104" s="47">
        <v>41260</v>
      </c>
      <c r="H104" s="48">
        <f t="shared" si="2"/>
        <v>12</v>
      </c>
      <c r="I104" s="49">
        <v>14</v>
      </c>
      <c r="J104" s="50">
        <v>3</v>
      </c>
      <c r="K104" s="51">
        <f t="shared" si="3"/>
        <v>42</v>
      </c>
    </row>
    <row r="105" spans="1:11" x14ac:dyDescent="0.3">
      <c r="A105" s="46">
        <v>23285</v>
      </c>
      <c r="B105" s="46" t="s">
        <v>727</v>
      </c>
      <c r="C105" s="46" t="s">
        <v>640</v>
      </c>
      <c r="D105" s="46" t="s">
        <v>610</v>
      </c>
      <c r="E105" s="46" t="s">
        <v>611</v>
      </c>
      <c r="F105" s="46" t="s">
        <v>523</v>
      </c>
      <c r="G105" s="47">
        <v>41114</v>
      </c>
      <c r="H105" s="48">
        <f t="shared" si="2"/>
        <v>7</v>
      </c>
      <c r="I105" s="49">
        <v>9</v>
      </c>
      <c r="J105" s="50">
        <v>4.5</v>
      </c>
      <c r="K105" s="51">
        <f t="shared" si="3"/>
        <v>40.5</v>
      </c>
    </row>
    <row r="106" spans="1:11" x14ac:dyDescent="0.3">
      <c r="A106" s="46">
        <v>23375</v>
      </c>
      <c r="B106" s="46" t="s">
        <v>728</v>
      </c>
      <c r="C106" s="46" t="s">
        <v>628</v>
      </c>
      <c r="D106" s="46" t="s">
        <v>558</v>
      </c>
      <c r="E106" s="46" t="s">
        <v>559</v>
      </c>
      <c r="F106" s="46" t="s">
        <v>523</v>
      </c>
      <c r="G106" s="47">
        <v>41029</v>
      </c>
      <c r="H106" s="48">
        <f t="shared" si="2"/>
        <v>4</v>
      </c>
      <c r="I106" s="49">
        <v>5</v>
      </c>
      <c r="J106" s="50">
        <v>6.99</v>
      </c>
      <c r="K106" s="51">
        <f t="shared" si="3"/>
        <v>34.950000000000003</v>
      </c>
    </row>
    <row r="107" spans="1:11" x14ac:dyDescent="0.3">
      <c r="A107" s="46">
        <v>23336</v>
      </c>
      <c r="B107" s="46" t="s">
        <v>729</v>
      </c>
      <c r="C107" s="46" t="s">
        <v>730</v>
      </c>
      <c r="D107" s="46" t="s">
        <v>610</v>
      </c>
      <c r="E107" s="46" t="s">
        <v>611</v>
      </c>
      <c r="F107" s="46" t="s">
        <v>523</v>
      </c>
      <c r="G107" s="47">
        <v>41091</v>
      </c>
      <c r="H107" s="48">
        <f t="shared" si="2"/>
        <v>7</v>
      </c>
      <c r="I107" s="49">
        <v>7</v>
      </c>
      <c r="J107" s="50">
        <v>4.5</v>
      </c>
      <c r="K107" s="51">
        <f t="shared" si="3"/>
        <v>31.5</v>
      </c>
    </row>
    <row r="108" spans="1:11" x14ac:dyDescent="0.3">
      <c r="A108" s="53">
        <v>23279</v>
      </c>
      <c r="B108" s="53" t="s">
        <v>731</v>
      </c>
      <c r="C108" s="53" t="s">
        <v>704</v>
      </c>
      <c r="D108" s="53" t="s">
        <v>649</v>
      </c>
      <c r="E108" s="53" t="s">
        <v>650</v>
      </c>
      <c r="F108" s="53" t="s">
        <v>517</v>
      </c>
      <c r="G108" s="54">
        <v>41020</v>
      </c>
      <c r="H108" s="55">
        <f t="shared" si="2"/>
        <v>4</v>
      </c>
      <c r="I108" s="56">
        <v>10</v>
      </c>
      <c r="J108" s="57">
        <v>3</v>
      </c>
      <c r="K108" s="58">
        <f t="shared" si="3"/>
        <v>30</v>
      </c>
    </row>
  </sheetData>
  <conditionalFormatting sqref="A2:A108">
    <cfRule type="duplicateValues" dxfId="4" priority="1"/>
  </conditionalFormatting>
  <conditionalFormatting sqref="B1">
    <cfRule type="duplicateValues" dxfId="3" priority="2"/>
  </conditionalFormatting>
  <conditionalFormatting sqref="C1">
    <cfRule type="duplicateValues" dxfId="2" priority="3"/>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J92"/>
  <sheetViews>
    <sheetView workbookViewId="0">
      <selection activeCell="N12" sqref="N12"/>
    </sheetView>
  </sheetViews>
  <sheetFormatPr defaultRowHeight="14.4" x14ac:dyDescent="0.3"/>
  <cols>
    <col min="1" max="1" width="23.6640625" customWidth="1"/>
    <col min="2" max="2" width="18.33203125" style="1" customWidth="1"/>
    <col min="3" max="5" width="15.6640625" customWidth="1"/>
    <col min="8" max="8" width="25.44140625" customWidth="1"/>
  </cols>
  <sheetData>
    <row r="1" spans="1:10" ht="15.6" x14ac:dyDescent="0.3">
      <c r="A1" s="85" t="s">
        <v>732</v>
      </c>
      <c r="B1" s="85"/>
      <c r="C1" s="85"/>
      <c r="D1" s="85"/>
      <c r="E1" s="85"/>
    </row>
    <row r="2" spans="1:10" ht="15.6" x14ac:dyDescent="0.3">
      <c r="A2" s="21" t="s">
        <v>501</v>
      </c>
      <c r="B2" s="22" t="s">
        <v>488</v>
      </c>
      <c r="C2" s="22" t="s">
        <v>275</v>
      </c>
      <c r="D2" s="22" t="s">
        <v>489</v>
      </c>
      <c r="E2" s="23" t="s">
        <v>500</v>
      </c>
    </row>
    <row r="3" spans="1:10" ht="15.6" x14ac:dyDescent="0.3">
      <c r="A3" s="19" t="s">
        <v>412</v>
      </c>
      <c r="B3" s="7" t="s">
        <v>381</v>
      </c>
      <c r="C3" s="7">
        <v>8</v>
      </c>
      <c r="D3" s="7">
        <v>6</v>
      </c>
      <c r="E3" s="20">
        <v>1</v>
      </c>
      <c r="H3" s="8" t="s">
        <v>501</v>
      </c>
      <c r="I3" s="9" t="s">
        <v>275</v>
      </c>
      <c r="J3" s="9" t="s">
        <v>489</v>
      </c>
    </row>
    <row r="4" spans="1:10" ht="15.6" x14ac:dyDescent="0.3">
      <c r="A4" s="19" t="s">
        <v>462</v>
      </c>
      <c r="B4" s="7" t="s">
        <v>402</v>
      </c>
      <c r="C4" s="7">
        <v>5</v>
      </c>
      <c r="D4" s="7">
        <v>7</v>
      </c>
      <c r="E4" s="20">
        <v>2</v>
      </c>
      <c r="H4" s="6" t="s">
        <v>417</v>
      </c>
      <c r="I4" s="7">
        <f>VLOOKUP($H$4,Table2[],3,0)</f>
        <v>8</v>
      </c>
      <c r="J4" s="7">
        <f>VLOOKUP($H4,Table2[],4,0)</f>
        <v>21</v>
      </c>
    </row>
    <row r="5" spans="1:10" ht="15.6" x14ac:dyDescent="0.3">
      <c r="A5" s="19" t="s">
        <v>422</v>
      </c>
      <c r="B5" s="7" t="s">
        <v>398</v>
      </c>
      <c r="C5" s="7">
        <v>7</v>
      </c>
      <c r="D5" s="7">
        <v>13</v>
      </c>
      <c r="E5" s="20">
        <v>3</v>
      </c>
      <c r="H5" s="6" t="s">
        <v>499</v>
      </c>
      <c r="I5" s="7">
        <f>VLOOKUP(H5,Table2[],3,0)</f>
        <v>5</v>
      </c>
      <c r="J5" s="7">
        <f>VLOOKUP($H5,Table2[],4,0)</f>
        <v>14</v>
      </c>
    </row>
    <row r="6" spans="1:10" ht="15.6" x14ac:dyDescent="0.3">
      <c r="A6" s="19" t="s">
        <v>447</v>
      </c>
      <c r="B6" s="7" t="s">
        <v>424</v>
      </c>
      <c r="C6" s="7">
        <v>6</v>
      </c>
      <c r="D6" s="7">
        <v>15</v>
      </c>
      <c r="E6" s="20">
        <v>3</v>
      </c>
      <c r="H6" s="6" t="s">
        <v>380</v>
      </c>
      <c r="I6" s="7">
        <f>VLOOKUP(H6,Table2[],3,0)</f>
        <v>15</v>
      </c>
      <c r="J6" s="7">
        <f>VLOOKUP($H6,Table2[],4,0)</f>
        <v>19</v>
      </c>
    </row>
    <row r="7" spans="1:10" ht="15.6" x14ac:dyDescent="0.3">
      <c r="A7" s="19" t="s">
        <v>493</v>
      </c>
      <c r="B7" s="7" t="s">
        <v>442</v>
      </c>
      <c r="C7" s="7">
        <v>6</v>
      </c>
      <c r="D7" s="7">
        <v>11</v>
      </c>
      <c r="E7" s="20">
        <v>3</v>
      </c>
      <c r="H7" s="6" t="s">
        <v>449</v>
      </c>
      <c r="I7" s="7">
        <f>VLOOKUP(H7,Table2[],3,0)</f>
        <v>6</v>
      </c>
      <c r="J7" s="7">
        <f>VLOOKUP($H7,Table2[],4,0)</f>
        <v>17</v>
      </c>
    </row>
    <row r="8" spans="1:10" ht="15.6" x14ac:dyDescent="0.3">
      <c r="A8" s="19" t="s">
        <v>446</v>
      </c>
      <c r="B8" s="7" t="s">
        <v>381</v>
      </c>
      <c r="C8" s="7">
        <v>6</v>
      </c>
      <c r="D8" s="7">
        <v>15</v>
      </c>
      <c r="E8" s="20">
        <v>3</v>
      </c>
      <c r="H8" s="6" t="s">
        <v>490</v>
      </c>
      <c r="I8" s="7">
        <f>VLOOKUP(H8,Table2[],3,0)</f>
        <v>10</v>
      </c>
      <c r="J8" s="7">
        <f>VLOOKUP($H8,Table2[],4,0)</f>
        <v>13</v>
      </c>
    </row>
    <row r="9" spans="1:10" ht="15.6" x14ac:dyDescent="0.3">
      <c r="A9" s="19" t="s">
        <v>421</v>
      </c>
      <c r="B9" s="7" t="s">
        <v>381</v>
      </c>
      <c r="C9" s="7">
        <v>7</v>
      </c>
      <c r="D9" s="7">
        <v>9</v>
      </c>
      <c r="E9" s="20">
        <v>2</v>
      </c>
      <c r="H9" s="6" t="s">
        <v>480</v>
      </c>
      <c r="I9" s="7">
        <f>VLOOKUP(H9,Table2[],3,0)</f>
        <v>5</v>
      </c>
      <c r="J9" s="7">
        <f>VLOOKUP($H9,Table2[],4,0)</f>
        <v>12</v>
      </c>
    </row>
    <row r="10" spans="1:10" ht="15.6" x14ac:dyDescent="0.3">
      <c r="A10" s="19" t="s">
        <v>401</v>
      </c>
      <c r="B10" s="7" t="s">
        <v>402</v>
      </c>
      <c r="C10" s="7">
        <v>9</v>
      </c>
      <c r="D10" s="7">
        <v>9</v>
      </c>
      <c r="E10" s="20">
        <v>2</v>
      </c>
      <c r="H10" s="6" t="s">
        <v>386</v>
      </c>
      <c r="I10" s="7">
        <f>VLOOKUP(H10,Table2[],3,0)</f>
        <v>12</v>
      </c>
      <c r="J10" s="7">
        <f>VLOOKUP($H10,Table2[],4,0)</f>
        <v>14</v>
      </c>
    </row>
    <row r="11" spans="1:10" ht="15.6" x14ac:dyDescent="0.3">
      <c r="A11" s="19" t="s">
        <v>491</v>
      </c>
      <c r="B11" s="7" t="s">
        <v>404</v>
      </c>
      <c r="C11" s="7">
        <v>9</v>
      </c>
      <c r="D11" s="7">
        <v>12</v>
      </c>
      <c r="E11" s="20">
        <v>3</v>
      </c>
      <c r="H11" s="6" t="s">
        <v>476</v>
      </c>
      <c r="I11" s="7">
        <f>VLOOKUP(H11,Table2[],3,0)</f>
        <v>5</v>
      </c>
      <c r="J11" s="7">
        <f>VLOOKUP($H11,Table2[],4,0)</f>
        <v>11</v>
      </c>
    </row>
    <row r="12" spans="1:10" ht="15.6" x14ac:dyDescent="0.3">
      <c r="A12" s="19" t="s">
        <v>436</v>
      </c>
      <c r="B12" s="7" t="s">
        <v>437</v>
      </c>
      <c r="C12" s="7">
        <v>6</v>
      </c>
      <c r="D12" s="7">
        <v>8</v>
      </c>
      <c r="E12" s="20">
        <v>3</v>
      </c>
    </row>
    <row r="13" spans="1:10" ht="15.6" x14ac:dyDescent="0.3">
      <c r="A13" s="19" t="s">
        <v>443</v>
      </c>
      <c r="B13" s="7" t="s">
        <v>424</v>
      </c>
      <c r="C13" s="7">
        <v>6</v>
      </c>
      <c r="D13" s="7">
        <v>12</v>
      </c>
      <c r="E13" s="20">
        <v>2</v>
      </c>
    </row>
    <row r="14" spans="1:10" ht="15.6" x14ac:dyDescent="0.3">
      <c r="A14" s="19" t="s">
        <v>441</v>
      </c>
      <c r="B14" s="7" t="s">
        <v>414</v>
      </c>
      <c r="C14" s="7">
        <v>6</v>
      </c>
      <c r="D14" s="7">
        <v>10</v>
      </c>
      <c r="E14" s="20">
        <v>3</v>
      </c>
    </row>
    <row r="15" spans="1:10" ht="15.6" x14ac:dyDescent="0.3">
      <c r="A15" s="19" t="s">
        <v>417</v>
      </c>
      <c r="B15" s="7" t="s">
        <v>394</v>
      </c>
      <c r="C15" s="7">
        <v>8</v>
      </c>
      <c r="D15" s="7">
        <v>21</v>
      </c>
      <c r="E15" s="20">
        <v>4</v>
      </c>
    </row>
    <row r="16" spans="1:10" ht="15.6" x14ac:dyDescent="0.3">
      <c r="A16" s="19" t="s">
        <v>474</v>
      </c>
      <c r="B16" s="7" t="s">
        <v>404</v>
      </c>
      <c r="C16" s="7">
        <v>5</v>
      </c>
      <c r="D16" s="7">
        <v>9</v>
      </c>
      <c r="E16" s="20">
        <v>2</v>
      </c>
    </row>
    <row r="17" spans="1:8" ht="15.6" x14ac:dyDescent="0.3">
      <c r="A17" s="19" t="s">
        <v>431</v>
      </c>
      <c r="B17" s="7" t="s">
        <v>432</v>
      </c>
      <c r="C17" s="7">
        <v>6</v>
      </c>
      <c r="D17" s="7">
        <v>5</v>
      </c>
      <c r="E17" s="20">
        <v>1</v>
      </c>
    </row>
    <row r="18" spans="1:8" ht="15.6" x14ac:dyDescent="0.3">
      <c r="A18" s="19" t="s">
        <v>399</v>
      </c>
      <c r="B18" s="7" t="s">
        <v>400</v>
      </c>
      <c r="C18" s="7">
        <v>9</v>
      </c>
      <c r="D18" s="7">
        <v>6</v>
      </c>
      <c r="E18" s="20">
        <v>1</v>
      </c>
      <c r="H18" s="10"/>
    </row>
    <row r="19" spans="1:8" ht="15.6" x14ac:dyDescent="0.3">
      <c r="A19" s="19" t="s">
        <v>479</v>
      </c>
      <c r="B19" s="7" t="s">
        <v>404</v>
      </c>
      <c r="C19" s="7">
        <v>5</v>
      </c>
      <c r="D19" s="7">
        <v>12</v>
      </c>
      <c r="E19" s="20">
        <v>4</v>
      </c>
    </row>
    <row r="20" spans="1:8" ht="15.6" x14ac:dyDescent="0.3">
      <c r="A20" s="19" t="s">
        <v>465</v>
      </c>
      <c r="B20" s="7" t="s">
        <v>404</v>
      </c>
      <c r="C20" s="7">
        <v>5</v>
      </c>
      <c r="D20" s="7">
        <v>7</v>
      </c>
      <c r="E20" s="20">
        <v>2</v>
      </c>
    </row>
    <row r="21" spans="1:8" ht="15.6" x14ac:dyDescent="0.3">
      <c r="A21" s="19" t="s">
        <v>487</v>
      </c>
      <c r="B21" s="7" t="s">
        <v>383</v>
      </c>
      <c r="C21" s="7">
        <v>5</v>
      </c>
      <c r="D21" s="7">
        <v>18</v>
      </c>
      <c r="E21" s="20">
        <v>3</v>
      </c>
    </row>
    <row r="22" spans="1:8" ht="15.6" x14ac:dyDescent="0.3">
      <c r="A22" s="19" t="s">
        <v>393</v>
      </c>
      <c r="B22" s="7" t="s">
        <v>394</v>
      </c>
      <c r="C22" s="7">
        <v>10</v>
      </c>
      <c r="D22" s="7">
        <v>12</v>
      </c>
      <c r="E22" s="20">
        <v>3</v>
      </c>
    </row>
    <row r="23" spans="1:8" ht="15.6" x14ac:dyDescent="0.3">
      <c r="A23" s="19" t="s">
        <v>477</v>
      </c>
      <c r="B23" s="7" t="s">
        <v>381</v>
      </c>
      <c r="C23" s="7">
        <v>5</v>
      </c>
      <c r="D23" s="7">
        <v>12</v>
      </c>
      <c r="E23" s="20">
        <v>3</v>
      </c>
    </row>
    <row r="24" spans="1:8" ht="15.6" x14ac:dyDescent="0.3">
      <c r="A24" s="19" t="s">
        <v>391</v>
      </c>
      <c r="B24" s="7" t="s">
        <v>392</v>
      </c>
      <c r="C24" s="7">
        <v>10</v>
      </c>
      <c r="D24" s="7">
        <v>12</v>
      </c>
      <c r="E24" s="20">
        <v>2</v>
      </c>
    </row>
    <row r="25" spans="1:8" ht="15.6" x14ac:dyDescent="0.3">
      <c r="A25" s="19" t="s">
        <v>459</v>
      </c>
      <c r="B25" s="7" t="s">
        <v>392</v>
      </c>
      <c r="C25" s="7">
        <v>5</v>
      </c>
      <c r="D25" s="7">
        <v>6</v>
      </c>
      <c r="E25" s="20">
        <v>2</v>
      </c>
    </row>
    <row r="26" spans="1:8" ht="15.6" x14ac:dyDescent="0.3">
      <c r="A26" s="19" t="s">
        <v>382</v>
      </c>
      <c r="B26" s="7" t="s">
        <v>383</v>
      </c>
      <c r="C26" s="7">
        <v>14</v>
      </c>
      <c r="D26" s="7">
        <v>13</v>
      </c>
      <c r="E26" s="20">
        <v>2</v>
      </c>
    </row>
    <row r="27" spans="1:8" ht="15.6" x14ac:dyDescent="0.3">
      <c r="A27" s="19" t="s">
        <v>498</v>
      </c>
      <c r="B27" s="7" t="s">
        <v>394</v>
      </c>
      <c r="C27" s="7">
        <v>5</v>
      </c>
      <c r="D27" s="7">
        <v>11</v>
      </c>
      <c r="E27" s="20">
        <v>2</v>
      </c>
    </row>
    <row r="28" spans="1:8" ht="15.6" x14ac:dyDescent="0.3">
      <c r="A28" s="19" t="s">
        <v>397</v>
      </c>
      <c r="B28" s="7" t="s">
        <v>398</v>
      </c>
      <c r="C28" s="7">
        <v>10</v>
      </c>
      <c r="D28" s="7">
        <v>20</v>
      </c>
      <c r="E28" s="20">
        <v>3</v>
      </c>
    </row>
    <row r="29" spans="1:8" ht="15.6" x14ac:dyDescent="0.3">
      <c r="A29" s="19" t="s">
        <v>410</v>
      </c>
      <c r="B29" s="7" t="s">
        <v>394</v>
      </c>
      <c r="C29" s="7">
        <v>8</v>
      </c>
      <c r="D29" s="7">
        <v>4</v>
      </c>
      <c r="E29" s="20">
        <v>1</v>
      </c>
    </row>
    <row r="30" spans="1:8" ht="15.6" x14ac:dyDescent="0.3">
      <c r="A30" s="19" t="s">
        <v>433</v>
      </c>
      <c r="B30" s="7" t="s">
        <v>388</v>
      </c>
      <c r="C30" s="7">
        <v>6</v>
      </c>
      <c r="D30" s="7">
        <v>5</v>
      </c>
      <c r="E30" s="20">
        <v>2</v>
      </c>
    </row>
    <row r="31" spans="1:8" ht="15.6" x14ac:dyDescent="0.3">
      <c r="A31" s="19" t="s">
        <v>454</v>
      </c>
      <c r="B31" s="7" t="s">
        <v>388</v>
      </c>
      <c r="C31" s="7">
        <v>5</v>
      </c>
      <c r="D31" s="7">
        <v>4</v>
      </c>
      <c r="E31" s="20">
        <v>1</v>
      </c>
    </row>
    <row r="32" spans="1:8" ht="15.6" x14ac:dyDescent="0.3">
      <c r="A32" s="19" t="s">
        <v>475</v>
      </c>
      <c r="B32" s="7" t="s">
        <v>432</v>
      </c>
      <c r="C32" s="7">
        <v>5</v>
      </c>
      <c r="D32" s="7">
        <v>10</v>
      </c>
      <c r="E32" s="20">
        <v>2</v>
      </c>
    </row>
    <row r="33" spans="1:5" ht="15.6" x14ac:dyDescent="0.3">
      <c r="A33" s="19" t="s">
        <v>425</v>
      </c>
      <c r="B33" s="7" t="s">
        <v>383</v>
      </c>
      <c r="C33" s="7">
        <v>7</v>
      </c>
      <c r="D33" s="7">
        <v>15</v>
      </c>
      <c r="E33" s="20">
        <v>3</v>
      </c>
    </row>
    <row r="34" spans="1:5" ht="15.6" x14ac:dyDescent="0.3">
      <c r="A34" s="19" t="s">
        <v>438</v>
      </c>
      <c r="B34" s="7" t="s">
        <v>383</v>
      </c>
      <c r="C34" s="7">
        <v>6</v>
      </c>
      <c r="D34" s="7">
        <v>9</v>
      </c>
      <c r="E34" s="20">
        <v>3</v>
      </c>
    </row>
    <row r="35" spans="1:5" ht="15.6" x14ac:dyDescent="0.3">
      <c r="A35" s="19" t="s">
        <v>390</v>
      </c>
      <c r="B35" s="7" t="s">
        <v>383</v>
      </c>
      <c r="C35" s="7">
        <v>10</v>
      </c>
      <c r="D35" s="7">
        <v>10</v>
      </c>
      <c r="E35" s="20">
        <v>2</v>
      </c>
    </row>
    <row r="36" spans="1:5" ht="15.6" x14ac:dyDescent="0.3">
      <c r="A36" s="19" t="s">
        <v>483</v>
      </c>
      <c r="B36" s="7" t="s">
        <v>464</v>
      </c>
      <c r="C36" s="7">
        <v>5</v>
      </c>
      <c r="D36" s="7">
        <v>13</v>
      </c>
      <c r="E36" s="20">
        <v>3</v>
      </c>
    </row>
    <row r="37" spans="1:5" ht="15.6" x14ac:dyDescent="0.3">
      <c r="A37" s="19" t="s">
        <v>439</v>
      </c>
      <c r="B37" s="7" t="s">
        <v>440</v>
      </c>
      <c r="C37" s="7">
        <v>6</v>
      </c>
      <c r="D37" s="7">
        <v>10</v>
      </c>
      <c r="E37" s="20">
        <v>2</v>
      </c>
    </row>
    <row r="38" spans="1:5" ht="15.6" x14ac:dyDescent="0.3">
      <c r="A38" s="19" t="s">
        <v>406</v>
      </c>
      <c r="B38" s="7" t="s">
        <v>381</v>
      </c>
      <c r="C38" s="7">
        <v>9</v>
      </c>
      <c r="D38" s="7">
        <v>16</v>
      </c>
      <c r="E38" s="20">
        <v>3</v>
      </c>
    </row>
    <row r="39" spans="1:5" ht="15.6" x14ac:dyDescent="0.3">
      <c r="A39" s="19" t="s">
        <v>492</v>
      </c>
      <c r="B39" s="7" t="s">
        <v>434</v>
      </c>
      <c r="C39" s="7">
        <v>6</v>
      </c>
      <c r="D39" s="7">
        <v>5</v>
      </c>
      <c r="E39" s="20">
        <v>1</v>
      </c>
    </row>
    <row r="40" spans="1:5" ht="15.6" x14ac:dyDescent="0.3">
      <c r="A40" s="19" t="s">
        <v>478</v>
      </c>
      <c r="B40" s="7" t="s">
        <v>424</v>
      </c>
      <c r="C40" s="7">
        <v>5</v>
      </c>
      <c r="D40" s="7">
        <v>12</v>
      </c>
      <c r="E40" s="20">
        <v>2</v>
      </c>
    </row>
    <row r="41" spans="1:5" ht="15.6" x14ac:dyDescent="0.3">
      <c r="A41" s="19" t="s">
        <v>423</v>
      </c>
      <c r="B41" s="7" t="s">
        <v>424</v>
      </c>
      <c r="C41" s="7">
        <v>7</v>
      </c>
      <c r="D41" s="7">
        <v>13</v>
      </c>
      <c r="E41" s="20">
        <v>2</v>
      </c>
    </row>
    <row r="42" spans="1:5" ht="15.6" x14ac:dyDescent="0.3">
      <c r="A42" s="19" t="s">
        <v>460</v>
      </c>
      <c r="B42" s="7" t="s">
        <v>461</v>
      </c>
      <c r="C42" s="7">
        <v>5</v>
      </c>
      <c r="D42" s="7">
        <v>6</v>
      </c>
      <c r="E42" s="20">
        <v>2</v>
      </c>
    </row>
    <row r="43" spans="1:5" ht="15.6" x14ac:dyDescent="0.3">
      <c r="A43" s="19" t="s">
        <v>426</v>
      </c>
      <c r="B43" s="7" t="s">
        <v>427</v>
      </c>
      <c r="C43" s="7">
        <v>6</v>
      </c>
      <c r="D43" s="7">
        <v>3</v>
      </c>
      <c r="E43" s="20">
        <v>1</v>
      </c>
    </row>
    <row r="44" spans="1:5" ht="15.6" x14ac:dyDescent="0.3">
      <c r="A44" s="19" t="s">
        <v>458</v>
      </c>
      <c r="B44" s="7" t="s">
        <v>414</v>
      </c>
      <c r="C44" s="7">
        <v>5</v>
      </c>
      <c r="D44" s="7">
        <v>6</v>
      </c>
      <c r="E44" s="20">
        <v>2</v>
      </c>
    </row>
    <row r="45" spans="1:5" ht="15.6" x14ac:dyDescent="0.3">
      <c r="A45" s="19" t="s">
        <v>389</v>
      </c>
      <c r="B45" s="7" t="s">
        <v>379</v>
      </c>
      <c r="C45" s="7">
        <v>11</v>
      </c>
      <c r="D45" s="7">
        <v>17</v>
      </c>
      <c r="E45" s="20">
        <v>3</v>
      </c>
    </row>
    <row r="46" spans="1:5" ht="15.6" x14ac:dyDescent="0.3">
      <c r="A46" s="19" t="s">
        <v>384</v>
      </c>
      <c r="B46" s="7" t="s">
        <v>385</v>
      </c>
      <c r="C46" s="7">
        <v>13</v>
      </c>
      <c r="D46" s="7">
        <v>6</v>
      </c>
      <c r="E46" s="20">
        <v>1</v>
      </c>
    </row>
    <row r="47" spans="1:5" ht="15.6" x14ac:dyDescent="0.3">
      <c r="A47" s="19" t="s">
        <v>408</v>
      </c>
      <c r="B47" s="7" t="s">
        <v>383</v>
      </c>
      <c r="C47" s="7">
        <v>9</v>
      </c>
      <c r="D47" s="7">
        <v>19</v>
      </c>
      <c r="E47" s="20">
        <v>3</v>
      </c>
    </row>
    <row r="48" spans="1:5" ht="15.6" x14ac:dyDescent="0.3">
      <c r="A48" s="19" t="s">
        <v>463</v>
      </c>
      <c r="B48" s="7" t="s">
        <v>464</v>
      </c>
      <c r="C48" s="7">
        <v>5</v>
      </c>
      <c r="D48" s="7">
        <v>7</v>
      </c>
      <c r="E48" s="20">
        <v>1</v>
      </c>
    </row>
    <row r="49" spans="1:5" ht="15.6" x14ac:dyDescent="0.3">
      <c r="A49" s="19" t="s">
        <v>420</v>
      </c>
      <c r="B49" s="7" t="s">
        <v>388</v>
      </c>
      <c r="C49" s="7">
        <v>7</v>
      </c>
      <c r="D49" s="7">
        <v>8</v>
      </c>
      <c r="E49" s="20">
        <v>3</v>
      </c>
    </row>
    <row r="50" spans="1:5" ht="15.6" x14ac:dyDescent="0.3">
      <c r="A50" s="19" t="s">
        <v>481</v>
      </c>
      <c r="B50" s="7" t="s">
        <v>482</v>
      </c>
      <c r="C50" s="7">
        <v>5</v>
      </c>
      <c r="D50" s="7">
        <v>12</v>
      </c>
      <c r="E50" s="20">
        <v>3</v>
      </c>
    </row>
    <row r="51" spans="1:5" ht="15.6" x14ac:dyDescent="0.3">
      <c r="A51" s="19" t="s">
        <v>411</v>
      </c>
      <c r="B51" s="7" t="s">
        <v>381</v>
      </c>
      <c r="C51" s="7">
        <v>8</v>
      </c>
      <c r="D51" s="7">
        <v>5</v>
      </c>
      <c r="E51" s="20">
        <v>2</v>
      </c>
    </row>
    <row r="52" spans="1:5" ht="15.6" x14ac:dyDescent="0.3">
      <c r="A52" s="19" t="s">
        <v>499</v>
      </c>
      <c r="B52" s="7" t="s">
        <v>394</v>
      </c>
      <c r="C52" s="7">
        <v>5</v>
      </c>
      <c r="D52" s="7">
        <v>14</v>
      </c>
      <c r="E52" s="20">
        <v>3</v>
      </c>
    </row>
    <row r="53" spans="1:5" ht="15.6" x14ac:dyDescent="0.3">
      <c r="A53" s="19" t="s">
        <v>451</v>
      </c>
      <c r="B53" s="7" t="s">
        <v>379</v>
      </c>
      <c r="C53" s="7">
        <v>6</v>
      </c>
      <c r="D53" s="7">
        <v>25</v>
      </c>
      <c r="E53" s="20">
        <v>5</v>
      </c>
    </row>
    <row r="54" spans="1:5" ht="15.6" x14ac:dyDescent="0.3">
      <c r="A54" s="19" t="s">
        <v>497</v>
      </c>
      <c r="B54" s="7" t="s">
        <v>414</v>
      </c>
      <c r="C54" s="7">
        <v>5</v>
      </c>
      <c r="D54" s="7">
        <v>8</v>
      </c>
      <c r="E54" s="20">
        <v>2</v>
      </c>
    </row>
    <row r="55" spans="1:5" ht="15.6" x14ac:dyDescent="0.3">
      <c r="A55" s="19" t="s">
        <v>486</v>
      </c>
      <c r="B55" s="7" t="s">
        <v>379</v>
      </c>
      <c r="C55" s="7">
        <v>5</v>
      </c>
      <c r="D55" s="7">
        <v>15</v>
      </c>
      <c r="E55" s="20">
        <v>3</v>
      </c>
    </row>
    <row r="56" spans="1:5" ht="15.6" x14ac:dyDescent="0.3">
      <c r="A56" s="19" t="s">
        <v>467</v>
      </c>
      <c r="B56" s="7" t="s">
        <v>468</v>
      </c>
      <c r="C56" s="7">
        <v>5</v>
      </c>
      <c r="D56" s="7">
        <v>8</v>
      </c>
      <c r="E56" s="20">
        <v>4</v>
      </c>
    </row>
    <row r="57" spans="1:5" ht="15.6" x14ac:dyDescent="0.3">
      <c r="A57" s="19" t="s">
        <v>450</v>
      </c>
      <c r="B57" s="7" t="s">
        <v>394</v>
      </c>
      <c r="C57" s="7">
        <v>6</v>
      </c>
      <c r="D57" s="7">
        <v>18</v>
      </c>
      <c r="E57" s="20">
        <v>3</v>
      </c>
    </row>
    <row r="58" spans="1:5" ht="15.6" x14ac:dyDescent="0.3">
      <c r="A58" s="19" t="s">
        <v>430</v>
      </c>
      <c r="B58" s="7" t="s">
        <v>383</v>
      </c>
      <c r="C58" s="7">
        <v>6</v>
      </c>
      <c r="D58" s="7">
        <v>5</v>
      </c>
      <c r="E58" s="20">
        <v>1</v>
      </c>
    </row>
    <row r="59" spans="1:5" ht="15.6" x14ac:dyDescent="0.3">
      <c r="A59" s="19" t="s">
        <v>484</v>
      </c>
      <c r="B59" s="7" t="s">
        <v>385</v>
      </c>
      <c r="C59" s="7">
        <v>5</v>
      </c>
      <c r="D59" s="7">
        <v>14</v>
      </c>
      <c r="E59" s="20">
        <v>3</v>
      </c>
    </row>
    <row r="60" spans="1:5" ht="15.6" x14ac:dyDescent="0.3">
      <c r="A60" s="19" t="s">
        <v>378</v>
      </c>
      <c r="B60" s="7" t="s">
        <v>379</v>
      </c>
      <c r="C60" s="7">
        <v>16</v>
      </c>
      <c r="D60" s="7">
        <v>24</v>
      </c>
      <c r="E60" s="20">
        <v>4</v>
      </c>
    </row>
    <row r="61" spans="1:5" ht="15.6" x14ac:dyDescent="0.3">
      <c r="A61" s="19" t="s">
        <v>418</v>
      </c>
      <c r="B61" s="7" t="s">
        <v>419</v>
      </c>
      <c r="C61" s="7">
        <v>7</v>
      </c>
      <c r="D61" s="7">
        <v>6</v>
      </c>
      <c r="E61" s="20">
        <v>2</v>
      </c>
    </row>
    <row r="62" spans="1:5" ht="15.6" x14ac:dyDescent="0.3">
      <c r="A62" s="19" t="s">
        <v>428</v>
      </c>
      <c r="B62" s="7" t="s">
        <v>429</v>
      </c>
      <c r="C62" s="7">
        <v>6</v>
      </c>
      <c r="D62" s="7">
        <v>3</v>
      </c>
      <c r="E62" s="20">
        <v>1</v>
      </c>
    </row>
    <row r="63" spans="1:5" ht="15.6" x14ac:dyDescent="0.3">
      <c r="A63" s="19" t="s">
        <v>413</v>
      </c>
      <c r="B63" s="7" t="s">
        <v>414</v>
      </c>
      <c r="C63" s="7">
        <v>8</v>
      </c>
      <c r="D63" s="7">
        <v>7</v>
      </c>
      <c r="E63" s="20">
        <v>2</v>
      </c>
    </row>
    <row r="64" spans="1:5" ht="15.6" x14ac:dyDescent="0.3">
      <c r="A64" s="19" t="s">
        <v>405</v>
      </c>
      <c r="B64" s="7" t="s">
        <v>402</v>
      </c>
      <c r="C64" s="7">
        <v>9</v>
      </c>
      <c r="D64" s="7">
        <v>14</v>
      </c>
      <c r="E64" s="20">
        <v>3</v>
      </c>
    </row>
    <row r="65" spans="1:5" ht="15.6" x14ac:dyDescent="0.3">
      <c r="A65" s="19" t="s">
        <v>452</v>
      </c>
      <c r="B65" s="7" t="s">
        <v>414</v>
      </c>
      <c r="C65" s="7">
        <v>5</v>
      </c>
      <c r="D65" s="7">
        <v>4</v>
      </c>
      <c r="E65" s="20">
        <v>1</v>
      </c>
    </row>
    <row r="66" spans="1:5" ht="15.6" x14ac:dyDescent="0.3">
      <c r="A66" s="19" t="s">
        <v>386</v>
      </c>
      <c r="B66" s="7" t="s">
        <v>381</v>
      </c>
      <c r="C66" s="7">
        <v>12</v>
      </c>
      <c r="D66" s="7">
        <v>14</v>
      </c>
      <c r="E66" s="20">
        <v>4</v>
      </c>
    </row>
    <row r="67" spans="1:5" ht="15.6" x14ac:dyDescent="0.3">
      <c r="A67" s="19" t="s">
        <v>455</v>
      </c>
      <c r="B67" s="7" t="s">
        <v>456</v>
      </c>
      <c r="C67" s="7">
        <v>5</v>
      </c>
      <c r="D67" s="7">
        <v>5</v>
      </c>
      <c r="E67" s="20">
        <v>1</v>
      </c>
    </row>
    <row r="68" spans="1:5" ht="15.6" x14ac:dyDescent="0.3">
      <c r="A68" s="19" t="s">
        <v>476</v>
      </c>
      <c r="B68" s="7" t="s">
        <v>404</v>
      </c>
      <c r="C68" s="7">
        <v>5</v>
      </c>
      <c r="D68" s="7">
        <v>11</v>
      </c>
      <c r="E68" s="20">
        <v>3</v>
      </c>
    </row>
    <row r="69" spans="1:5" ht="15.6" x14ac:dyDescent="0.3">
      <c r="A69" s="19" t="s">
        <v>415</v>
      </c>
      <c r="B69" s="7" t="s">
        <v>381</v>
      </c>
      <c r="C69" s="7">
        <v>8</v>
      </c>
      <c r="D69" s="7">
        <v>14</v>
      </c>
      <c r="E69" s="20">
        <v>2</v>
      </c>
    </row>
    <row r="70" spans="1:5" ht="15.6" x14ac:dyDescent="0.3">
      <c r="A70" s="19" t="s">
        <v>445</v>
      </c>
      <c r="B70" s="7" t="s">
        <v>381</v>
      </c>
      <c r="C70" s="7">
        <v>6</v>
      </c>
      <c r="D70" s="7">
        <v>15</v>
      </c>
      <c r="E70" s="20">
        <v>3</v>
      </c>
    </row>
    <row r="71" spans="1:5" ht="15.6" x14ac:dyDescent="0.3">
      <c r="A71" s="19" t="s">
        <v>444</v>
      </c>
      <c r="B71" s="7" t="s">
        <v>424</v>
      </c>
      <c r="C71" s="7">
        <v>6</v>
      </c>
      <c r="D71" s="7">
        <v>13</v>
      </c>
      <c r="E71" s="20">
        <v>2</v>
      </c>
    </row>
    <row r="72" spans="1:5" ht="15.6" x14ac:dyDescent="0.3">
      <c r="A72" s="19" t="s">
        <v>407</v>
      </c>
      <c r="B72" s="7" t="s">
        <v>402</v>
      </c>
      <c r="C72" s="7">
        <v>9</v>
      </c>
      <c r="D72" s="7">
        <v>16</v>
      </c>
      <c r="E72" s="20">
        <v>3</v>
      </c>
    </row>
    <row r="73" spans="1:5" ht="15.6" x14ac:dyDescent="0.3">
      <c r="A73" s="19" t="s">
        <v>495</v>
      </c>
      <c r="B73" s="7" t="s">
        <v>424</v>
      </c>
      <c r="C73" s="7">
        <v>6</v>
      </c>
      <c r="D73" s="7">
        <v>17</v>
      </c>
      <c r="E73" s="20">
        <v>3</v>
      </c>
    </row>
    <row r="74" spans="1:5" ht="15.6" x14ac:dyDescent="0.3">
      <c r="A74" s="19" t="s">
        <v>472</v>
      </c>
      <c r="B74" s="7" t="s">
        <v>473</v>
      </c>
      <c r="C74" s="7">
        <v>5</v>
      </c>
      <c r="D74" s="7">
        <v>9</v>
      </c>
      <c r="E74" s="20">
        <v>3</v>
      </c>
    </row>
    <row r="75" spans="1:5" ht="15.6" x14ac:dyDescent="0.3">
      <c r="A75" s="19" t="s">
        <v>466</v>
      </c>
      <c r="B75" s="7" t="s">
        <v>381</v>
      </c>
      <c r="C75" s="7">
        <v>5</v>
      </c>
      <c r="D75" s="7">
        <v>8</v>
      </c>
      <c r="E75" s="20">
        <v>2</v>
      </c>
    </row>
    <row r="76" spans="1:5" ht="15.6" x14ac:dyDescent="0.3">
      <c r="A76" s="19" t="s">
        <v>380</v>
      </c>
      <c r="B76" s="7" t="s">
        <v>381</v>
      </c>
      <c r="C76" s="7">
        <v>15</v>
      </c>
      <c r="D76" s="7">
        <v>19</v>
      </c>
      <c r="E76" s="20">
        <v>4</v>
      </c>
    </row>
    <row r="77" spans="1:5" ht="15.6" x14ac:dyDescent="0.3">
      <c r="A77" s="19" t="s">
        <v>416</v>
      </c>
      <c r="B77" s="7" t="s">
        <v>379</v>
      </c>
      <c r="C77" s="7">
        <v>8</v>
      </c>
      <c r="D77" s="7">
        <v>15</v>
      </c>
      <c r="E77" s="20">
        <v>3</v>
      </c>
    </row>
    <row r="78" spans="1:5" ht="15.6" x14ac:dyDescent="0.3">
      <c r="A78" s="19" t="s">
        <v>435</v>
      </c>
      <c r="B78" s="7" t="s">
        <v>402</v>
      </c>
      <c r="C78" s="7">
        <v>6</v>
      </c>
      <c r="D78" s="7">
        <v>7</v>
      </c>
      <c r="E78" s="20">
        <v>1</v>
      </c>
    </row>
    <row r="79" spans="1:5" ht="15.6" x14ac:dyDescent="0.3">
      <c r="A79" s="19" t="s">
        <v>387</v>
      </c>
      <c r="B79" s="7" t="s">
        <v>388</v>
      </c>
      <c r="C79" s="7">
        <v>11</v>
      </c>
      <c r="D79" s="7">
        <v>5</v>
      </c>
      <c r="E79" s="20">
        <v>1</v>
      </c>
    </row>
    <row r="80" spans="1:5" ht="15.6" x14ac:dyDescent="0.3">
      <c r="A80" s="19" t="s">
        <v>453</v>
      </c>
      <c r="B80" s="7" t="s">
        <v>402</v>
      </c>
      <c r="C80" s="7">
        <v>5</v>
      </c>
      <c r="D80" s="7">
        <v>4</v>
      </c>
      <c r="E80" s="20">
        <v>1</v>
      </c>
    </row>
    <row r="81" spans="1:5" ht="15.6" x14ac:dyDescent="0.3">
      <c r="A81" s="19" t="s">
        <v>395</v>
      </c>
      <c r="B81" s="7" t="s">
        <v>396</v>
      </c>
      <c r="C81" s="7">
        <v>10</v>
      </c>
      <c r="D81" s="7">
        <v>13</v>
      </c>
      <c r="E81" s="20">
        <v>3</v>
      </c>
    </row>
    <row r="82" spans="1:5" ht="15.6" x14ac:dyDescent="0.3">
      <c r="A82" s="19" t="s">
        <v>449</v>
      </c>
      <c r="B82" s="7" t="s">
        <v>385</v>
      </c>
      <c r="C82" s="7">
        <v>6</v>
      </c>
      <c r="D82" s="7">
        <v>17</v>
      </c>
      <c r="E82" s="20">
        <v>4</v>
      </c>
    </row>
    <row r="83" spans="1:5" ht="15.6" x14ac:dyDescent="0.3">
      <c r="A83" s="19" t="s">
        <v>490</v>
      </c>
      <c r="B83" s="7" t="s">
        <v>379</v>
      </c>
      <c r="C83" s="7">
        <v>10</v>
      </c>
      <c r="D83" s="7">
        <v>13</v>
      </c>
      <c r="E83" s="20">
        <v>2</v>
      </c>
    </row>
    <row r="84" spans="1:5" ht="15.6" x14ac:dyDescent="0.3">
      <c r="A84" s="19" t="s">
        <v>496</v>
      </c>
      <c r="B84" s="7" t="s">
        <v>469</v>
      </c>
      <c r="C84" s="7">
        <v>5</v>
      </c>
      <c r="D84" s="7">
        <v>8</v>
      </c>
      <c r="E84" s="20">
        <v>3</v>
      </c>
    </row>
    <row r="85" spans="1:5" ht="15.6" x14ac:dyDescent="0.3">
      <c r="A85" s="19" t="s">
        <v>457</v>
      </c>
      <c r="B85" s="7" t="s">
        <v>419</v>
      </c>
      <c r="C85" s="7">
        <v>5</v>
      </c>
      <c r="D85" s="7">
        <v>5</v>
      </c>
      <c r="E85" s="20">
        <v>1</v>
      </c>
    </row>
    <row r="86" spans="1:5" ht="15.6" x14ac:dyDescent="0.3">
      <c r="A86" s="19" t="s">
        <v>409</v>
      </c>
      <c r="B86" s="7" t="s">
        <v>383</v>
      </c>
      <c r="C86" s="7">
        <v>9</v>
      </c>
      <c r="D86" s="7">
        <v>21</v>
      </c>
      <c r="E86" s="20">
        <v>4</v>
      </c>
    </row>
    <row r="87" spans="1:5" ht="15.6" x14ac:dyDescent="0.3">
      <c r="A87" s="19" t="s">
        <v>470</v>
      </c>
      <c r="B87" s="7" t="s">
        <v>471</v>
      </c>
      <c r="C87" s="7">
        <v>5</v>
      </c>
      <c r="D87" s="7">
        <v>9</v>
      </c>
      <c r="E87" s="20">
        <v>2</v>
      </c>
    </row>
    <row r="88" spans="1:5" ht="15.6" x14ac:dyDescent="0.3">
      <c r="A88" s="19" t="s">
        <v>403</v>
      </c>
      <c r="B88" s="7" t="s">
        <v>381</v>
      </c>
      <c r="C88" s="7">
        <v>9</v>
      </c>
      <c r="D88" s="7">
        <v>10</v>
      </c>
      <c r="E88" s="20">
        <v>2</v>
      </c>
    </row>
    <row r="89" spans="1:5" ht="15.6" x14ac:dyDescent="0.3">
      <c r="A89" s="19" t="s">
        <v>494</v>
      </c>
      <c r="B89" s="7" t="s">
        <v>424</v>
      </c>
      <c r="C89" s="7">
        <v>6</v>
      </c>
      <c r="D89" s="7">
        <v>17</v>
      </c>
      <c r="E89" s="20">
        <v>3</v>
      </c>
    </row>
    <row r="90" spans="1:5" ht="15.6" x14ac:dyDescent="0.3">
      <c r="A90" s="19" t="s">
        <v>448</v>
      </c>
      <c r="B90" s="7" t="s">
        <v>398</v>
      </c>
      <c r="C90" s="7">
        <v>6</v>
      </c>
      <c r="D90" s="7">
        <v>16</v>
      </c>
      <c r="E90" s="20">
        <v>3</v>
      </c>
    </row>
    <row r="91" spans="1:5" ht="15.6" x14ac:dyDescent="0.3">
      <c r="A91" s="19" t="s">
        <v>485</v>
      </c>
      <c r="B91" s="7" t="s">
        <v>381</v>
      </c>
      <c r="C91" s="7">
        <v>5</v>
      </c>
      <c r="D91" s="7">
        <v>14</v>
      </c>
      <c r="E91" s="20">
        <v>3</v>
      </c>
    </row>
    <row r="92" spans="1:5" ht="15.6" x14ac:dyDescent="0.3">
      <c r="A92" s="24" t="s">
        <v>480</v>
      </c>
      <c r="B92" s="25" t="s">
        <v>385</v>
      </c>
      <c r="C92" s="25">
        <v>5</v>
      </c>
      <c r="D92" s="25">
        <v>12</v>
      </c>
      <c r="E92" s="26">
        <v>3</v>
      </c>
    </row>
  </sheetData>
  <mergeCells count="1">
    <mergeCell ref="A1:E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N61"/>
  <sheetViews>
    <sheetView topLeftCell="A3" zoomScale="90" zoomScaleNormal="90" workbookViewId="0">
      <selection activeCell="N12" sqref="N12"/>
    </sheetView>
  </sheetViews>
  <sheetFormatPr defaultRowHeight="14.4" x14ac:dyDescent="0.3"/>
  <cols>
    <col min="3" max="3" width="30.88671875" customWidth="1"/>
    <col min="4" max="4" width="14.5546875" customWidth="1"/>
    <col min="6" max="7" width="18" customWidth="1"/>
    <col min="8" max="8" width="24.33203125" customWidth="1"/>
    <col min="9" max="9" width="18" customWidth="1"/>
    <col min="10" max="10" width="20" customWidth="1"/>
    <col min="11" max="11" width="28.88671875" bestFit="1" customWidth="1"/>
    <col min="12" max="12" width="15.5546875" bestFit="1" customWidth="1"/>
    <col min="13" max="14" width="8.33203125" bestFit="1" customWidth="1"/>
    <col min="15" max="15" width="11.21875" bestFit="1" customWidth="1"/>
  </cols>
  <sheetData>
    <row r="1" spans="3:10" x14ac:dyDescent="0.3">
      <c r="C1" s="37" t="s">
        <v>815</v>
      </c>
    </row>
    <row r="4" spans="3:10" x14ac:dyDescent="0.3">
      <c r="C4" s="12" t="s">
        <v>506</v>
      </c>
      <c r="D4" s="13" t="s">
        <v>733</v>
      </c>
      <c r="F4" s="13" t="s">
        <v>507</v>
      </c>
      <c r="G4" s="13" t="s">
        <v>733</v>
      </c>
    </row>
    <row r="5" spans="3:10" x14ac:dyDescent="0.3">
      <c r="C5" s="14" t="s">
        <v>650</v>
      </c>
      <c r="D5" s="15">
        <f t="shared" ref="D5:D15" si="0">COUNTIF(product,C5)</f>
        <v>11</v>
      </c>
      <c r="F5" s="14" t="s">
        <v>517</v>
      </c>
      <c r="G5" s="14">
        <f>COUNTIF(Data!F2:F108,F5)</f>
        <v>52</v>
      </c>
    </row>
    <row r="6" spans="3:10" x14ac:dyDescent="0.3">
      <c r="C6" s="14" t="s">
        <v>601</v>
      </c>
      <c r="D6" s="15">
        <f t="shared" si="0"/>
        <v>11</v>
      </c>
      <c r="F6" s="14" t="s">
        <v>520</v>
      </c>
      <c r="G6" s="14">
        <f>COUNTIF(Data!F3:F109,F6)</f>
        <v>9</v>
      </c>
    </row>
    <row r="7" spans="3:10" x14ac:dyDescent="0.3">
      <c r="C7" s="14" t="s">
        <v>587</v>
      </c>
      <c r="D7" s="15">
        <f t="shared" si="0"/>
        <v>11</v>
      </c>
      <c r="F7" s="14" t="s">
        <v>523</v>
      </c>
      <c r="G7" s="14">
        <f>COUNTIF(Data!F4:F110,F7)</f>
        <v>46</v>
      </c>
    </row>
    <row r="8" spans="3:10" x14ac:dyDescent="0.3">
      <c r="C8" s="14" t="s">
        <v>614</v>
      </c>
      <c r="D8" s="15">
        <f t="shared" si="0"/>
        <v>6</v>
      </c>
    </row>
    <row r="9" spans="3:10" x14ac:dyDescent="0.3">
      <c r="C9" s="14" t="s">
        <v>577</v>
      </c>
      <c r="D9" s="15">
        <f t="shared" si="0"/>
        <v>8</v>
      </c>
      <c r="F9" s="13" t="s">
        <v>507</v>
      </c>
      <c r="G9" s="13" t="s">
        <v>733</v>
      </c>
      <c r="H9" s="13" t="s">
        <v>516</v>
      </c>
    </row>
    <row r="10" spans="3:10" x14ac:dyDescent="0.3">
      <c r="C10" s="14" t="s">
        <v>573</v>
      </c>
      <c r="D10" s="59">
        <f t="shared" si="0"/>
        <v>8</v>
      </c>
      <c r="F10" s="14" t="s">
        <v>517</v>
      </c>
      <c r="G10" s="14">
        <f>COUNTIFS(channel,F10,product,$H$9)</f>
        <v>4</v>
      </c>
    </row>
    <row r="11" spans="3:10" x14ac:dyDescent="0.3">
      <c r="C11" s="14" t="s">
        <v>539</v>
      </c>
      <c r="D11" s="15">
        <f t="shared" si="0"/>
        <v>12</v>
      </c>
      <c r="F11" s="14" t="s">
        <v>520</v>
      </c>
      <c r="G11" s="14">
        <f>COUNTIFS(channel,F11,product,$H$9)</f>
        <v>2</v>
      </c>
    </row>
    <row r="12" spans="3:10" x14ac:dyDescent="0.3">
      <c r="C12" s="14" t="s">
        <v>611</v>
      </c>
      <c r="D12" s="15">
        <f t="shared" si="0"/>
        <v>7</v>
      </c>
      <c r="F12" s="14" t="s">
        <v>523</v>
      </c>
      <c r="G12" s="14">
        <f>COUNTIFS(channel,F12,product,$H$9)</f>
        <v>5</v>
      </c>
    </row>
    <row r="13" spans="3:10" x14ac:dyDescent="0.3">
      <c r="C13" s="14" t="s">
        <v>559</v>
      </c>
      <c r="D13" s="15">
        <f t="shared" si="0"/>
        <v>11</v>
      </c>
    </row>
    <row r="14" spans="3:10" x14ac:dyDescent="0.3">
      <c r="C14" s="14" t="s">
        <v>535</v>
      </c>
      <c r="D14" s="15">
        <f t="shared" si="0"/>
        <v>11</v>
      </c>
      <c r="F14" s="16"/>
      <c r="G14" s="13" t="s">
        <v>734</v>
      </c>
      <c r="H14" s="13" t="s">
        <v>735</v>
      </c>
      <c r="I14" s="13" t="s">
        <v>736</v>
      </c>
      <c r="J14" s="13" t="s">
        <v>737</v>
      </c>
    </row>
    <row r="15" spans="3:10" x14ac:dyDescent="0.3">
      <c r="C15" s="14" t="s">
        <v>516</v>
      </c>
      <c r="D15" s="15">
        <f t="shared" si="0"/>
        <v>11</v>
      </c>
      <c r="F15" s="13" t="s">
        <v>738</v>
      </c>
      <c r="G15" s="14">
        <f>COUNTIF(revenue,"&gt;1000")</f>
        <v>27</v>
      </c>
      <c r="H15" s="14">
        <f>COUNTIF(revenue,"&lt;1000")</f>
        <v>80</v>
      </c>
      <c r="I15" s="14">
        <f>COUNTIF(revenue,"=1000")</f>
        <v>0</v>
      </c>
      <c r="J15" s="14">
        <f>COUNTIF(revenue,"&lt;1000")</f>
        <v>80</v>
      </c>
    </row>
    <row r="17" spans="1:14" x14ac:dyDescent="0.3">
      <c r="A17" s="18"/>
      <c r="B17" s="18"/>
      <c r="C17" s="18"/>
      <c r="D17" s="18"/>
      <c r="E17" s="18"/>
      <c r="F17" s="18"/>
      <c r="G17" s="18"/>
      <c r="H17" s="18"/>
      <c r="I17" s="18"/>
      <c r="J17" s="18"/>
      <c r="K17" s="18"/>
      <c r="L17" s="18"/>
    </row>
    <row r="19" spans="1:14" x14ac:dyDescent="0.3">
      <c r="C19" s="17" t="s">
        <v>506</v>
      </c>
      <c r="D19" s="13" t="s">
        <v>517</v>
      </c>
      <c r="E19" s="13" t="s">
        <v>520</v>
      </c>
      <c r="F19" s="13" t="s">
        <v>523</v>
      </c>
      <c r="H19" s="87" t="s">
        <v>739</v>
      </c>
      <c r="I19" s="87"/>
    </row>
    <row r="20" spans="1:14" x14ac:dyDescent="0.3">
      <c r="C20" s="14" t="s">
        <v>650</v>
      </c>
      <c r="D20" s="15"/>
      <c r="E20" s="15"/>
      <c r="F20" s="15"/>
      <c r="H20" s="88">
        <f>SUMIF(Data!I2:I108,"&lt;100",Data!K2:K108)</f>
        <v>16819.620000000006</v>
      </c>
      <c r="I20" s="88"/>
    </row>
    <row r="21" spans="1:14" x14ac:dyDescent="0.3">
      <c r="C21" s="14" t="s">
        <v>601</v>
      </c>
      <c r="D21" s="15"/>
      <c r="E21" s="15"/>
      <c r="F21" s="15"/>
      <c r="K21" s="62" t="s">
        <v>817</v>
      </c>
      <c r="L21" s="62" t="s">
        <v>507</v>
      </c>
      <c r="M21" s="62"/>
      <c r="N21" s="62"/>
    </row>
    <row r="22" spans="1:14" x14ac:dyDescent="0.3">
      <c r="C22" s="14" t="s">
        <v>587</v>
      </c>
      <c r="D22" s="15"/>
      <c r="E22" s="15"/>
      <c r="F22" s="15"/>
      <c r="H22" s="87" t="s">
        <v>740</v>
      </c>
      <c r="I22" s="87"/>
      <c r="K22" s="62" t="s">
        <v>506</v>
      </c>
      <c r="L22" s="62" t="s">
        <v>517</v>
      </c>
      <c r="M22" s="62" t="s">
        <v>520</v>
      </c>
      <c r="N22" s="62" t="s">
        <v>523</v>
      </c>
    </row>
    <row r="23" spans="1:14" x14ac:dyDescent="0.3">
      <c r="C23" s="14" t="s">
        <v>614</v>
      </c>
      <c r="D23" s="15"/>
      <c r="E23" s="15"/>
      <c r="F23" s="15"/>
      <c r="H23" s="89">
        <f>SUMIF(Data!H2:H108,8,Data!K2:K108)</f>
        <v>33326.979999999996</v>
      </c>
      <c r="I23" s="89"/>
      <c r="K23" s="60" t="s">
        <v>577</v>
      </c>
      <c r="L23" s="61">
        <v>1272</v>
      </c>
      <c r="M23" s="61">
        <v>750</v>
      </c>
      <c r="N23" s="61">
        <v>2682</v>
      </c>
    </row>
    <row r="24" spans="1:14" x14ac:dyDescent="0.3">
      <c r="C24" s="14" t="s">
        <v>577</v>
      </c>
      <c r="D24" s="15"/>
      <c r="E24" s="15"/>
      <c r="F24" s="15"/>
      <c r="K24" s="60" t="s">
        <v>573</v>
      </c>
      <c r="L24" s="61">
        <v>2424.5</v>
      </c>
      <c r="M24" s="61">
        <v>461.5</v>
      </c>
      <c r="N24" s="61">
        <v>1963</v>
      </c>
    </row>
    <row r="25" spans="1:14" x14ac:dyDescent="0.3">
      <c r="C25" s="14" t="s">
        <v>573</v>
      </c>
      <c r="D25" s="15"/>
      <c r="E25" s="15"/>
      <c r="F25" s="15"/>
      <c r="K25" s="60" t="s">
        <v>539</v>
      </c>
      <c r="L25" s="61">
        <v>11385</v>
      </c>
      <c r="M25" s="61"/>
      <c r="N25" s="61">
        <v>4500</v>
      </c>
    </row>
    <row r="26" spans="1:14" x14ac:dyDescent="0.3">
      <c r="C26" s="14" t="s">
        <v>539</v>
      </c>
      <c r="D26" s="15"/>
      <c r="E26" s="15"/>
      <c r="F26" s="15"/>
      <c r="K26" s="60" t="s">
        <v>650</v>
      </c>
      <c r="L26" s="61">
        <v>1749</v>
      </c>
      <c r="M26" s="61"/>
      <c r="N26" s="61">
        <v>1275</v>
      </c>
    </row>
    <row r="27" spans="1:14" x14ac:dyDescent="0.3">
      <c r="C27" s="14" t="s">
        <v>611</v>
      </c>
      <c r="D27" s="15"/>
      <c r="E27" s="15"/>
      <c r="F27" s="15"/>
      <c r="K27" s="60" t="s">
        <v>601</v>
      </c>
      <c r="L27" s="61">
        <v>3487.2599999999998</v>
      </c>
      <c r="M27" s="61"/>
      <c r="N27" s="61">
        <v>1484.2800000000002</v>
      </c>
    </row>
    <row r="28" spans="1:14" x14ac:dyDescent="0.3">
      <c r="C28" s="14" t="s">
        <v>559</v>
      </c>
      <c r="D28" s="67">
        <f>SUMIFS(revenue,product,C28,channel,$D$19)</f>
        <v>3767.6099999999997</v>
      </c>
      <c r="E28" s="15"/>
      <c r="F28" s="15"/>
      <c r="K28" s="60" t="s">
        <v>587</v>
      </c>
      <c r="L28" s="61">
        <v>549</v>
      </c>
      <c r="M28" s="61">
        <v>1849.5</v>
      </c>
      <c r="N28" s="61">
        <v>3708</v>
      </c>
    </row>
    <row r="29" spans="1:14" x14ac:dyDescent="0.3">
      <c r="C29" s="14" t="s">
        <v>535</v>
      </c>
      <c r="D29" s="15"/>
      <c r="E29" s="15"/>
      <c r="F29" s="15"/>
      <c r="K29" s="60" t="s">
        <v>614</v>
      </c>
      <c r="L29" s="61">
        <v>1527.5</v>
      </c>
      <c r="M29" s="61"/>
      <c r="N29" s="61">
        <v>1118</v>
      </c>
    </row>
    <row r="30" spans="1:14" x14ac:dyDescent="0.3">
      <c r="C30" s="14" t="s">
        <v>516</v>
      </c>
      <c r="D30" s="15"/>
      <c r="E30" s="15"/>
      <c r="F30" s="15"/>
      <c r="K30" s="60" t="s">
        <v>535</v>
      </c>
      <c r="L30" s="61">
        <v>2847.15</v>
      </c>
      <c r="M30" s="61">
        <v>1408.59</v>
      </c>
      <c r="N30" s="61">
        <v>5054.9399999999996</v>
      </c>
    </row>
    <row r="31" spans="1:14" x14ac:dyDescent="0.3">
      <c r="K31" s="60" t="s">
        <v>611</v>
      </c>
      <c r="L31" s="61">
        <v>382.5</v>
      </c>
      <c r="M31" s="61"/>
      <c r="N31" s="61">
        <v>2659.5</v>
      </c>
    </row>
    <row r="32" spans="1:14" x14ac:dyDescent="0.3">
      <c r="A32" s="18"/>
      <c r="B32" s="18"/>
      <c r="C32" s="18"/>
      <c r="D32" s="18"/>
      <c r="E32" s="18"/>
      <c r="F32" s="18"/>
      <c r="G32" s="18"/>
      <c r="H32" s="18"/>
      <c r="I32" s="18"/>
      <c r="J32" s="18"/>
      <c r="K32" s="60" t="s">
        <v>559</v>
      </c>
      <c r="L32" s="61">
        <v>3767.6099999999997</v>
      </c>
      <c r="M32" s="61">
        <v>594.15</v>
      </c>
      <c r="N32" s="61">
        <v>2705.13</v>
      </c>
    </row>
    <row r="33" spans="3:14" x14ac:dyDescent="0.3">
      <c r="K33" s="60" t="s">
        <v>516</v>
      </c>
      <c r="L33" s="61">
        <v>8410</v>
      </c>
      <c r="M33" s="61">
        <v>5292.5</v>
      </c>
      <c r="N33" s="61">
        <v>7235.5</v>
      </c>
    </row>
    <row r="34" spans="3:14" x14ac:dyDescent="0.3">
      <c r="C34" s="11" t="s">
        <v>749</v>
      </c>
      <c r="D34" s="15">
        <v>450</v>
      </c>
      <c r="F34" s="86" t="s">
        <v>750</v>
      </c>
      <c r="G34" s="86"/>
      <c r="H34" s="86"/>
    </row>
    <row r="36" spans="3:14" x14ac:dyDescent="0.3">
      <c r="C36" s="17" t="s">
        <v>506</v>
      </c>
      <c r="D36" s="13" t="s">
        <v>741</v>
      </c>
      <c r="E36" s="13" t="s">
        <v>742</v>
      </c>
      <c r="F36" s="13" t="s">
        <v>511</v>
      </c>
      <c r="G36" s="13" t="s">
        <v>512</v>
      </c>
      <c r="H36" s="13" t="s">
        <v>743</v>
      </c>
    </row>
    <row r="37" spans="3:14" x14ac:dyDescent="0.3">
      <c r="C37" s="14" t="s">
        <v>535</v>
      </c>
      <c r="D37" s="15" t="s">
        <v>744</v>
      </c>
      <c r="E37" s="15">
        <v>100</v>
      </c>
      <c r="F37" s="15">
        <v>4.5</v>
      </c>
      <c r="G37" s="15">
        <v>450</v>
      </c>
      <c r="H37" s="59" t="str">
        <f>IF(G37&gt;=$D$34,"Target Reached","Target Missed")</f>
        <v>Target Reached</v>
      </c>
    </row>
    <row r="38" spans="3:14" x14ac:dyDescent="0.3">
      <c r="C38" s="14" t="s">
        <v>573</v>
      </c>
      <c r="D38" s="15" t="s">
        <v>745</v>
      </c>
      <c r="E38" s="15">
        <v>75</v>
      </c>
      <c r="F38" s="15">
        <v>13</v>
      </c>
      <c r="G38" s="15">
        <v>975</v>
      </c>
      <c r="H38" s="59" t="str">
        <f>IF(G38&gt;=$D$34,"Target Reached","Target Missed")</f>
        <v>Target Reached</v>
      </c>
    </row>
    <row r="39" spans="3:14" x14ac:dyDescent="0.3">
      <c r="C39" s="14" t="s">
        <v>516</v>
      </c>
      <c r="D39" s="15" t="s">
        <v>746</v>
      </c>
      <c r="E39" s="15">
        <v>13</v>
      </c>
      <c r="F39" s="15">
        <v>25</v>
      </c>
      <c r="G39" s="15">
        <v>325</v>
      </c>
      <c r="H39" s="15" t="str">
        <f>IF(G39&gt;=$D$34,"Target Reached","Target Missed")</f>
        <v>Target Missed</v>
      </c>
    </row>
    <row r="40" spans="3:14" x14ac:dyDescent="0.3">
      <c r="C40" s="14" t="s">
        <v>539</v>
      </c>
      <c r="D40" s="15" t="s">
        <v>747</v>
      </c>
      <c r="E40" s="15">
        <v>200</v>
      </c>
      <c r="F40" s="15">
        <v>0.75</v>
      </c>
      <c r="G40" s="15">
        <v>150</v>
      </c>
      <c r="H40" s="15" t="str">
        <f>IF(G40&gt;=$D$34,"Target Reached","Target Missed")</f>
        <v>Target Missed</v>
      </c>
    </row>
    <row r="41" spans="3:14" x14ac:dyDescent="0.3">
      <c r="C41" s="14" t="s">
        <v>587</v>
      </c>
      <c r="D41" s="15" t="s">
        <v>748</v>
      </c>
      <c r="E41" s="15">
        <v>11</v>
      </c>
      <c r="F41" s="15">
        <v>55</v>
      </c>
      <c r="G41" s="15">
        <v>605</v>
      </c>
      <c r="H41" s="59" t="str">
        <f>IF(G41&gt;=$D$34,"Target Reached","Target Missed")</f>
        <v>Target Reached</v>
      </c>
    </row>
    <row r="43" spans="3:14" x14ac:dyDescent="0.3">
      <c r="C43" s="11" t="s">
        <v>751</v>
      </c>
      <c r="D43" s="15">
        <v>4</v>
      </c>
    </row>
    <row r="44" spans="3:14" x14ac:dyDescent="0.3">
      <c r="F44" s="86" t="s">
        <v>752</v>
      </c>
      <c r="G44" s="86"/>
      <c r="H44" s="86"/>
    </row>
    <row r="45" spans="3:14" x14ac:dyDescent="0.3">
      <c r="C45" s="11" t="s">
        <v>749</v>
      </c>
      <c r="D45" s="15">
        <v>605</v>
      </c>
    </row>
    <row r="47" spans="3:14" x14ac:dyDescent="0.3">
      <c r="C47" s="17" t="s">
        <v>506</v>
      </c>
      <c r="D47" s="13" t="s">
        <v>741</v>
      </c>
      <c r="E47" s="13" t="s">
        <v>742</v>
      </c>
      <c r="F47" s="13" t="s">
        <v>511</v>
      </c>
      <c r="G47" s="13" t="s">
        <v>512</v>
      </c>
      <c r="H47" s="13" t="s">
        <v>743</v>
      </c>
    </row>
    <row r="48" spans="3:14" ht="15.6" x14ac:dyDescent="0.3">
      <c r="C48" s="14" t="s">
        <v>535</v>
      </c>
      <c r="D48" s="15" t="s">
        <v>744</v>
      </c>
      <c r="E48" s="15">
        <v>100</v>
      </c>
      <c r="F48" s="15">
        <v>4.5</v>
      </c>
      <c r="G48" s="15">
        <v>450</v>
      </c>
      <c r="H48" s="63" t="str">
        <f>IF(AND(F48&gt;=$D$43,G48&gt;=$D$45),"Reached","Missed")</f>
        <v>Missed</v>
      </c>
    </row>
    <row r="49" spans="3:8" ht="15.6" x14ac:dyDescent="0.3">
      <c r="C49" s="14" t="s">
        <v>573</v>
      </c>
      <c r="D49" s="15" t="s">
        <v>745</v>
      </c>
      <c r="E49" s="15">
        <v>75</v>
      </c>
      <c r="F49" s="15">
        <v>13</v>
      </c>
      <c r="G49" s="15">
        <v>975</v>
      </c>
      <c r="H49" s="64" t="str">
        <f t="shared" ref="H49:H52" si="1">IF(AND(F49&gt;=$D$43,G49&gt;=$D$45),"Reached","Missed")</f>
        <v>Reached</v>
      </c>
    </row>
    <row r="50" spans="3:8" ht="15.6" x14ac:dyDescent="0.3">
      <c r="C50" s="14" t="s">
        <v>516</v>
      </c>
      <c r="D50" s="15" t="s">
        <v>746</v>
      </c>
      <c r="E50" s="15">
        <v>13</v>
      </c>
      <c r="F50" s="15">
        <v>25</v>
      </c>
      <c r="G50" s="15">
        <v>325</v>
      </c>
      <c r="H50" s="63" t="str">
        <f t="shared" si="1"/>
        <v>Missed</v>
      </c>
    </row>
    <row r="51" spans="3:8" ht="15.6" x14ac:dyDescent="0.3">
      <c r="C51" s="14" t="s">
        <v>539</v>
      </c>
      <c r="D51" s="15" t="s">
        <v>747</v>
      </c>
      <c r="E51" s="15">
        <v>200</v>
      </c>
      <c r="F51" s="15">
        <v>0.75</v>
      </c>
      <c r="G51" s="15">
        <v>150</v>
      </c>
      <c r="H51" s="63" t="str">
        <f t="shared" si="1"/>
        <v>Missed</v>
      </c>
    </row>
    <row r="52" spans="3:8" ht="15.6" x14ac:dyDescent="0.3">
      <c r="C52" s="14" t="s">
        <v>587</v>
      </c>
      <c r="D52" s="15" t="s">
        <v>748</v>
      </c>
      <c r="E52" s="15">
        <v>11</v>
      </c>
      <c r="F52" s="15">
        <v>55</v>
      </c>
      <c r="G52" s="15">
        <v>605</v>
      </c>
      <c r="H52" s="64" t="str">
        <f t="shared" si="1"/>
        <v>Reached</v>
      </c>
    </row>
    <row r="54" spans="3:8" x14ac:dyDescent="0.3">
      <c r="C54" s="86" t="s">
        <v>765</v>
      </c>
      <c r="D54" s="86"/>
      <c r="E54" s="86"/>
      <c r="F54" s="86"/>
    </row>
    <row r="56" spans="3:8" x14ac:dyDescent="0.3">
      <c r="C56" s="17" t="s">
        <v>753</v>
      </c>
      <c r="D56" s="13" t="s">
        <v>507</v>
      </c>
      <c r="E56" s="13" t="s">
        <v>512</v>
      </c>
      <c r="F56" s="13" t="s">
        <v>754</v>
      </c>
      <c r="G56" s="13" t="s">
        <v>504</v>
      </c>
      <c r="H56" s="13" t="s">
        <v>743</v>
      </c>
    </row>
    <row r="57" spans="3:8" x14ac:dyDescent="0.3">
      <c r="C57" s="14" t="s">
        <v>755</v>
      </c>
      <c r="D57" s="15" t="s">
        <v>523</v>
      </c>
      <c r="E57" s="15">
        <v>1000</v>
      </c>
      <c r="F57" s="15" t="s">
        <v>756</v>
      </c>
      <c r="G57" s="15" t="s">
        <v>575</v>
      </c>
      <c r="H57" s="65" t="str">
        <f>IF(OR(D57="Online",E57&gt;1000),C57,"Condition Not Met")</f>
        <v>Condition Not Met</v>
      </c>
    </row>
    <row r="58" spans="3:8" ht="15.6" x14ac:dyDescent="0.3">
      <c r="C58" s="14" t="s">
        <v>757</v>
      </c>
      <c r="D58" s="15" t="s">
        <v>517</v>
      </c>
      <c r="E58" s="15">
        <v>2500</v>
      </c>
      <c r="F58" s="15" t="s">
        <v>758</v>
      </c>
      <c r="G58" s="15" t="s">
        <v>525</v>
      </c>
      <c r="H58" s="66" t="str">
        <f t="shared" ref="H58:H61" si="2">IF(OR(D58="Online",E58&gt;1000),C58,"Condition Not Met")</f>
        <v>Distributors R Us</v>
      </c>
    </row>
    <row r="59" spans="3:8" ht="15.6" x14ac:dyDescent="0.3">
      <c r="C59" s="14" t="s">
        <v>759</v>
      </c>
      <c r="D59" s="15" t="s">
        <v>517</v>
      </c>
      <c r="E59" s="15">
        <v>750</v>
      </c>
      <c r="F59" s="15" t="s">
        <v>760</v>
      </c>
      <c r="G59" s="15" t="s">
        <v>514</v>
      </c>
      <c r="H59" s="66" t="str">
        <f t="shared" si="2"/>
        <v>Discount Distribution</v>
      </c>
    </row>
    <row r="60" spans="3:8" ht="15.6" x14ac:dyDescent="0.3">
      <c r="C60" s="14" t="s">
        <v>761</v>
      </c>
      <c r="D60" s="15" t="s">
        <v>520</v>
      </c>
      <c r="E60" s="15">
        <v>1152</v>
      </c>
      <c r="F60" s="15" t="s">
        <v>762</v>
      </c>
      <c r="G60" s="15" t="s">
        <v>763</v>
      </c>
      <c r="H60" s="66" t="str">
        <f t="shared" si="2"/>
        <v>Freight Away</v>
      </c>
    </row>
    <row r="61" spans="3:8" x14ac:dyDescent="0.3">
      <c r="C61" s="14" t="s">
        <v>764</v>
      </c>
      <c r="D61" s="15" t="s">
        <v>523</v>
      </c>
      <c r="E61" s="15">
        <v>345</v>
      </c>
      <c r="F61" s="15" t="s">
        <v>756</v>
      </c>
      <c r="G61" s="15" t="s">
        <v>682</v>
      </c>
      <c r="H61" s="65" t="str">
        <f t="shared" si="2"/>
        <v>Condition Not Met</v>
      </c>
    </row>
  </sheetData>
  <mergeCells count="7">
    <mergeCell ref="F34:H34"/>
    <mergeCell ref="F44:H44"/>
    <mergeCell ref="C54:F54"/>
    <mergeCell ref="H19:I19"/>
    <mergeCell ref="H20:I20"/>
    <mergeCell ref="H23:I23"/>
    <mergeCell ref="H22:I22"/>
  </mergeCells>
  <conditionalFormatting sqref="H37:H41">
    <cfRule type="cellIs" dxfId="1" priority="1" operator="equal">
      <formula>"Target Reached"</formula>
    </cfRule>
    <cfRule type="cellIs" dxfId="0" priority="2" operator="equal">
      <formula>"Target Missed"</formula>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511A5-67C9-4E46-8840-F75E11181D7C}">
  <sheetPr>
    <tabColor theme="4"/>
  </sheetPr>
  <dimension ref="A1:Q49"/>
  <sheetViews>
    <sheetView tabSelected="1" topLeftCell="A24" zoomScale="70" zoomScaleNormal="70" workbookViewId="0">
      <selection activeCell="H58" sqref="H58"/>
    </sheetView>
  </sheetViews>
  <sheetFormatPr defaultRowHeight="14.4" x14ac:dyDescent="0.3"/>
  <cols>
    <col min="1" max="1" width="27.21875" bestFit="1" customWidth="1"/>
    <col min="2" max="2" width="15.6640625" bestFit="1" customWidth="1"/>
    <col min="3" max="3" width="21" bestFit="1" customWidth="1"/>
    <col min="4" max="5" width="14.44140625" customWidth="1"/>
    <col min="6" max="6" width="27.21875" bestFit="1" customWidth="1"/>
    <col min="7" max="7" width="15.6640625" bestFit="1" customWidth="1"/>
    <col min="8" max="8" width="15.88671875" bestFit="1" customWidth="1"/>
    <col min="10" max="10" width="17.109375" customWidth="1"/>
    <col min="11" max="11" width="16.5546875" customWidth="1"/>
    <col min="12" max="12" width="15.88671875" bestFit="1" customWidth="1"/>
    <col min="15" max="15" width="15.6640625" bestFit="1" customWidth="1"/>
    <col min="16" max="16" width="12.5546875" bestFit="1" customWidth="1"/>
    <col min="17" max="17" width="14.88671875" bestFit="1" customWidth="1"/>
  </cols>
  <sheetData>
    <row r="1" spans="1:17" ht="18" x14ac:dyDescent="0.35">
      <c r="A1" s="74" t="s">
        <v>821</v>
      </c>
      <c r="B1" s="74" t="s">
        <v>820</v>
      </c>
      <c r="C1" s="74" t="s">
        <v>822</v>
      </c>
      <c r="D1" s="74" t="s">
        <v>819</v>
      </c>
      <c r="E1" s="74"/>
      <c r="F1" s="90" t="s">
        <v>831</v>
      </c>
      <c r="G1" s="90"/>
      <c r="H1" s="90"/>
      <c r="J1" s="90" t="s">
        <v>839</v>
      </c>
      <c r="K1" s="90"/>
      <c r="L1" s="90"/>
      <c r="P1" s="69" t="s">
        <v>823</v>
      </c>
      <c r="Q1" t="s">
        <v>818</v>
      </c>
    </row>
    <row r="2" spans="1:17" ht="18" x14ac:dyDescent="0.35">
      <c r="A2" s="70">
        <v>82543.11</v>
      </c>
      <c r="B2" s="71">
        <v>7.0202803738317785</v>
      </c>
      <c r="C2" s="72">
        <v>11376</v>
      </c>
      <c r="D2" s="73">
        <v>107</v>
      </c>
      <c r="E2" s="73"/>
      <c r="F2" s="69" t="s">
        <v>507</v>
      </c>
      <c r="G2" s="74" t="s">
        <v>821</v>
      </c>
      <c r="H2" t="s">
        <v>845</v>
      </c>
      <c r="J2" s="69" t="s">
        <v>840</v>
      </c>
      <c r="K2" s="74" t="s">
        <v>821</v>
      </c>
      <c r="L2" s="74" t="s">
        <v>827</v>
      </c>
      <c r="P2" s="38">
        <v>3</v>
      </c>
      <c r="Q2">
        <v>1008</v>
      </c>
    </row>
    <row r="3" spans="1:17" x14ac:dyDescent="0.3">
      <c r="F3" s="38" t="s">
        <v>517</v>
      </c>
      <c r="G3" s="70">
        <v>37801.51999999999</v>
      </c>
      <c r="H3" s="83">
        <v>5153</v>
      </c>
      <c r="J3" s="38" t="s">
        <v>832</v>
      </c>
      <c r="K3" s="70">
        <v>8818.49</v>
      </c>
      <c r="L3" s="80">
        <v>1046</v>
      </c>
      <c r="P3" s="38">
        <v>3.99</v>
      </c>
      <c r="Q3">
        <v>1246</v>
      </c>
    </row>
    <row r="4" spans="1:17" x14ac:dyDescent="0.3">
      <c r="F4" s="38" t="s">
        <v>523</v>
      </c>
      <c r="G4" s="70">
        <v>34385.350000000006</v>
      </c>
      <c r="H4" s="83">
        <v>5025</v>
      </c>
      <c r="J4" s="38" t="s">
        <v>833</v>
      </c>
      <c r="K4" s="70">
        <v>2669.25</v>
      </c>
      <c r="L4" s="80">
        <v>524</v>
      </c>
      <c r="P4" s="38">
        <v>4.5</v>
      </c>
      <c r="Q4">
        <v>2033</v>
      </c>
    </row>
    <row r="5" spans="1:17" x14ac:dyDescent="0.3">
      <c r="A5" s="73" t="str">
        <f t="shared" ref="A5:D6" si="0">A1</f>
        <v>Total Revenue</v>
      </c>
      <c r="B5" s="73" t="str">
        <f t="shared" si="0"/>
        <v>Avg Price</v>
      </c>
      <c r="C5" s="73" t="str">
        <f t="shared" si="0"/>
        <v>Total Quantity Sold</v>
      </c>
      <c r="D5" s="73" t="str">
        <f t="shared" si="0"/>
        <v>#Distributers</v>
      </c>
      <c r="E5" s="73"/>
      <c r="F5" s="38" t="s">
        <v>520</v>
      </c>
      <c r="G5" s="70">
        <v>10356.24</v>
      </c>
      <c r="H5" s="83">
        <v>1198</v>
      </c>
      <c r="J5" s="38" t="s">
        <v>834</v>
      </c>
      <c r="K5" s="70">
        <v>871.65000000000009</v>
      </c>
      <c r="L5" s="80">
        <v>231</v>
      </c>
      <c r="P5" s="38">
        <v>6</v>
      </c>
      <c r="Q5">
        <v>784</v>
      </c>
    </row>
    <row r="6" spans="1:17" x14ac:dyDescent="0.3">
      <c r="A6" s="75">
        <f t="shared" si="0"/>
        <v>82543.11</v>
      </c>
      <c r="B6" s="76">
        <f t="shared" si="0"/>
        <v>7.0202803738317785</v>
      </c>
      <c r="C6" s="77">
        <f t="shared" si="0"/>
        <v>11376</v>
      </c>
      <c r="D6" s="73">
        <f t="shared" si="0"/>
        <v>107</v>
      </c>
      <c r="E6" s="73"/>
      <c r="F6" s="38" t="s">
        <v>824</v>
      </c>
      <c r="G6" s="70">
        <v>82543.109999999986</v>
      </c>
      <c r="H6" s="83">
        <v>11376</v>
      </c>
      <c r="J6" s="38" t="s">
        <v>835</v>
      </c>
      <c r="K6" s="70">
        <v>22614.980000000003</v>
      </c>
      <c r="L6" s="80">
        <v>3004</v>
      </c>
      <c r="P6" s="38">
        <v>6.5</v>
      </c>
      <c r="Q6">
        <v>1153</v>
      </c>
    </row>
    <row r="7" spans="1:17" x14ac:dyDescent="0.3">
      <c r="J7" s="38" t="s">
        <v>836</v>
      </c>
      <c r="K7" s="70">
        <v>12389.34</v>
      </c>
      <c r="L7" s="80">
        <v>2190</v>
      </c>
      <c r="P7" s="38">
        <v>6.99</v>
      </c>
      <c r="Q7">
        <v>1011</v>
      </c>
    </row>
    <row r="8" spans="1:17" x14ac:dyDescent="0.3">
      <c r="J8" s="38" t="s">
        <v>837</v>
      </c>
      <c r="K8" s="70">
        <v>33326.979999999996</v>
      </c>
      <c r="L8" s="80">
        <v>3988</v>
      </c>
      <c r="P8" s="38">
        <v>9</v>
      </c>
      <c r="Q8">
        <v>1765</v>
      </c>
    </row>
    <row r="9" spans="1:17" ht="15.6" x14ac:dyDescent="0.3">
      <c r="A9" s="90" t="s">
        <v>825</v>
      </c>
      <c r="B9" s="90"/>
      <c r="C9" s="90"/>
      <c r="F9" s="90" t="s">
        <v>831</v>
      </c>
      <c r="G9" s="90"/>
      <c r="H9" s="90"/>
      <c r="J9" s="38" t="s">
        <v>838</v>
      </c>
      <c r="K9" s="70">
        <v>1852.42</v>
      </c>
      <c r="L9" s="80">
        <v>393</v>
      </c>
      <c r="P9" s="38">
        <v>9.99</v>
      </c>
      <c r="Q9">
        <v>932</v>
      </c>
    </row>
    <row r="10" spans="1:17" x14ac:dyDescent="0.3">
      <c r="A10" s="69" t="s">
        <v>507</v>
      </c>
      <c r="B10" t="s">
        <v>821</v>
      </c>
      <c r="F10" s="69" t="s">
        <v>507</v>
      </c>
      <c r="G10" t="s">
        <v>827</v>
      </c>
      <c r="J10" s="38" t="s">
        <v>824</v>
      </c>
      <c r="K10" s="70">
        <v>82543.11</v>
      </c>
      <c r="L10" s="80">
        <v>11376</v>
      </c>
      <c r="P10" s="38">
        <v>14.5</v>
      </c>
      <c r="Q10">
        <v>1444</v>
      </c>
    </row>
    <row r="11" spans="1:17" x14ac:dyDescent="0.3">
      <c r="A11" s="38" t="s">
        <v>520</v>
      </c>
      <c r="B11" s="79">
        <v>0.12546462085084994</v>
      </c>
      <c r="F11" s="38" t="s">
        <v>517</v>
      </c>
      <c r="G11" s="80">
        <v>5153</v>
      </c>
      <c r="P11" s="38" t="s">
        <v>843</v>
      </c>
    </row>
    <row r="12" spans="1:17" x14ac:dyDescent="0.3">
      <c r="A12" s="38" t="s">
        <v>517</v>
      </c>
      <c r="B12" s="79">
        <v>0.45796093701824414</v>
      </c>
      <c r="F12" s="38" t="s">
        <v>523</v>
      </c>
      <c r="G12" s="80">
        <v>5025</v>
      </c>
      <c r="P12" s="38" t="s">
        <v>824</v>
      </c>
      <c r="Q12">
        <v>11376</v>
      </c>
    </row>
    <row r="13" spans="1:17" x14ac:dyDescent="0.3">
      <c r="A13" s="38" t="s">
        <v>523</v>
      </c>
      <c r="B13" s="79">
        <v>0.41657444213090605</v>
      </c>
      <c r="F13" s="38" t="s">
        <v>520</v>
      </c>
      <c r="G13" s="80">
        <v>1198</v>
      </c>
    </row>
    <row r="14" spans="1:17" ht="15.6" x14ac:dyDescent="0.3">
      <c r="A14" s="38" t="s">
        <v>824</v>
      </c>
      <c r="B14" s="79">
        <v>1</v>
      </c>
      <c r="F14" s="38" t="s">
        <v>824</v>
      </c>
      <c r="G14" s="80">
        <v>11376</v>
      </c>
      <c r="J14" s="90" t="s">
        <v>841</v>
      </c>
      <c r="K14" s="90"/>
      <c r="L14" s="82"/>
      <c r="P14" s="68" t="s">
        <v>823</v>
      </c>
      <c r="Q14" s="68" t="s">
        <v>818</v>
      </c>
    </row>
    <row r="15" spans="1:17" x14ac:dyDescent="0.3">
      <c r="J15" s="69" t="s">
        <v>842</v>
      </c>
      <c r="K15" t="s">
        <v>821</v>
      </c>
      <c r="P15" s="38">
        <v>3</v>
      </c>
      <c r="Q15">
        <v>1008</v>
      </c>
    </row>
    <row r="16" spans="1:17" x14ac:dyDescent="0.3">
      <c r="J16" s="38" t="s">
        <v>518</v>
      </c>
      <c r="K16" s="70">
        <v>2856.5</v>
      </c>
      <c r="P16" s="38">
        <v>3.99</v>
      </c>
      <c r="Q16">
        <v>1246</v>
      </c>
    </row>
    <row r="17" spans="1:17" ht="15.6" x14ac:dyDescent="0.3">
      <c r="A17" s="90" t="s">
        <v>826</v>
      </c>
      <c r="B17" s="90"/>
      <c r="C17" s="90"/>
      <c r="F17" s="90" t="s">
        <v>830</v>
      </c>
      <c r="G17" s="90"/>
      <c r="H17" s="90"/>
      <c r="J17" s="38" t="s">
        <v>528</v>
      </c>
      <c r="K17" s="70">
        <v>2276.5</v>
      </c>
      <c r="P17" s="38">
        <v>4.5</v>
      </c>
      <c r="Q17">
        <v>2033</v>
      </c>
    </row>
    <row r="18" spans="1:17" x14ac:dyDescent="0.3">
      <c r="A18" s="69" t="s">
        <v>506</v>
      </c>
      <c r="B18" t="s">
        <v>821</v>
      </c>
      <c r="F18" s="69" t="s">
        <v>506</v>
      </c>
      <c r="G18" t="s">
        <v>821</v>
      </c>
      <c r="J18" s="38" t="s">
        <v>526</v>
      </c>
      <c r="K18" s="70">
        <v>2407</v>
      </c>
      <c r="P18" s="38">
        <v>6</v>
      </c>
      <c r="Q18">
        <v>784</v>
      </c>
    </row>
    <row r="19" spans="1:17" x14ac:dyDescent="0.3">
      <c r="A19" s="38" t="s">
        <v>516</v>
      </c>
      <c r="B19" s="70">
        <v>20938</v>
      </c>
      <c r="F19" s="38" t="s">
        <v>516</v>
      </c>
      <c r="G19" s="79">
        <v>0.25366138978771213</v>
      </c>
      <c r="J19" s="38" t="s">
        <v>513</v>
      </c>
      <c r="K19" s="70">
        <v>3016</v>
      </c>
      <c r="P19" s="38">
        <v>6.5</v>
      </c>
      <c r="Q19">
        <v>1153</v>
      </c>
    </row>
    <row r="20" spans="1:17" x14ac:dyDescent="0.3">
      <c r="A20" s="38" t="s">
        <v>539</v>
      </c>
      <c r="B20" s="70">
        <v>15885</v>
      </c>
      <c r="F20" s="38" t="s">
        <v>539</v>
      </c>
      <c r="G20" s="79">
        <v>0.19244489334118861</v>
      </c>
      <c r="J20" s="38" t="s">
        <v>540</v>
      </c>
      <c r="K20" s="70">
        <v>1791</v>
      </c>
      <c r="P20" s="38">
        <v>6.99</v>
      </c>
      <c r="Q20">
        <v>1011</v>
      </c>
    </row>
    <row r="21" spans="1:17" x14ac:dyDescent="0.3">
      <c r="A21" s="38" t="s">
        <v>535</v>
      </c>
      <c r="B21" s="70">
        <v>9310.6800000000021</v>
      </c>
      <c r="F21" s="38" t="s">
        <v>535</v>
      </c>
      <c r="G21" s="79">
        <v>0.11279778530273456</v>
      </c>
      <c r="J21" s="38" t="s">
        <v>530</v>
      </c>
      <c r="K21" s="70">
        <v>2059</v>
      </c>
      <c r="P21" s="38">
        <v>9</v>
      </c>
      <c r="Q21">
        <v>1765</v>
      </c>
    </row>
    <row r="22" spans="1:17" x14ac:dyDescent="0.3">
      <c r="A22" s="38" t="s">
        <v>559</v>
      </c>
      <c r="B22" s="70">
        <v>7066.8899999999994</v>
      </c>
      <c r="F22" s="38" t="s">
        <v>559</v>
      </c>
      <c r="G22" s="79">
        <v>8.5614535241039499E-2</v>
      </c>
      <c r="J22" s="38" t="s">
        <v>536</v>
      </c>
      <c r="K22" s="70">
        <v>1845</v>
      </c>
      <c r="P22" s="38">
        <v>9.99</v>
      </c>
      <c r="Q22">
        <v>932</v>
      </c>
    </row>
    <row r="23" spans="1:17" x14ac:dyDescent="0.3">
      <c r="A23" s="38" t="s">
        <v>587</v>
      </c>
      <c r="B23" s="70">
        <v>6106.5</v>
      </c>
      <c r="F23" s="38" t="s">
        <v>587</v>
      </c>
      <c r="G23" s="79">
        <v>7.397952415410565E-2</v>
      </c>
      <c r="J23" s="38" t="s">
        <v>532</v>
      </c>
      <c r="K23" s="70">
        <v>1928.07</v>
      </c>
      <c r="P23" s="38">
        <v>14.5</v>
      </c>
      <c r="Q23">
        <v>1444</v>
      </c>
    </row>
    <row r="24" spans="1:17" x14ac:dyDescent="0.3">
      <c r="A24" s="38" t="s">
        <v>824</v>
      </c>
      <c r="B24" s="70">
        <v>59307.07</v>
      </c>
      <c r="F24" s="38" t="s">
        <v>601</v>
      </c>
      <c r="G24" s="79">
        <v>6.0229618195873656E-2</v>
      </c>
      <c r="J24" s="38" t="s">
        <v>521</v>
      </c>
      <c r="K24" s="70">
        <v>2552</v>
      </c>
      <c r="P24" s="38" t="s">
        <v>843</v>
      </c>
    </row>
    <row r="25" spans="1:17" x14ac:dyDescent="0.3">
      <c r="F25" s="38" t="s">
        <v>573</v>
      </c>
      <c r="G25" s="79">
        <v>5.8745060611358112E-2</v>
      </c>
      <c r="J25" s="38" t="s">
        <v>524</v>
      </c>
      <c r="K25" s="70">
        <v>2436</v>
      </c>
    </row>
    <row r="26" spans="1:17" x14ac:dyDescent="0.3">
      <c r="F26" s="38" t="s">
        <v>577</v>
      </c>
      <c r="G26" s="79">
        <v>5.6988402787343483E-2</v>
      </c>
      <c r="J26" s="38" t="s">
        <v>824</v>
      </c>
      <c r="K26" s="70">
        <v>23167.07</v>
      </c>
    </row>
    <row r="27" spans="1:17" x14ac:dyDescent="0.3">
      <c r="F27" s="38" t="s">
        <v>611</v>
      </c>
      <c r="G27" s="79">
        <v>3.6853469659672379E-2</v>
      </c>
    </row>
    <row r="28" spans="1:17" x14ac:dyDescent="0.3">
      <c r="F28" s="38" t="s">
        <v>650</v>
      </c>
      <c r="G28" s="79">
        <v>3.663540179186367E-2</v>
      </c>
    </row>
    <row r="29" spans="1:17" x14ac:dyDescent="0.3">
      <c r="F29" s="38" t="s">
        <v>614</v>
      </c>
      <c r="G29" s="79">
        <v>3.2049919127108244E-2</v>
      </c>
    </row>
    <row r="30" spans="1:17" x14ac:dyDescent="0.3">
      <c r="F30" s="38" t="s">
        <v>824</v>
      </c>
      <c r="G30" s="79">
        <v>1</v>
      </c>
    </row>
    <row r="32" spans="1:17" ht="15.6" x14ac:dyDescent="0.3">
      <c r="A32" s="90" t="s">
        <v>829</v>
      </c>
      <c r="B32" s="90"/>
      <c r="C32" s="90"/>
    </row>
    <row r="33" spans="1:8" ht="18" x14ac:dyDescent="0.35">
      <c r="A33" s="69" t="s">
        <v>504</v>
      </c>
      <c r="B33" s="74" t="s">
        <v>821</v>
      </c>
      <c r="C33" s="74" t="s">
        <v>827</v>
      </c>
    </row>
    <row r="34" spans="1:8" x14ac:dyDescent="0.3">
      <c r="A34" s="38" t="s">
        <v>514</v>
      </c>
      <c r="B34" s="70">
        <v>3016</v>
      </c>
      <c r="C34" s="80">
        <v>208</v>
      </c>
    </row>
    <row r="35" spans="1:8" ht="15.6" x14ac:dyDescent="0.3">
      <c r="A35" s="38" t="s">
        <v>519</v>
      </c>
      <c r="B35" s="70">
        <v>2856.5</v>
      </c>
      <c r="C35" s="80">
        <v>197</v>
      </c>
      <c r="F35" s="90" t="s">
        <v>839</v>
      </c>
      <c r="G35" s="90"/>
      <c r="H35" s="90"/>
    </row>
    <row r="36" spans="1:8" ht="18" x14ac:dyDescent="0.35">
      <c r="A36" s="38" t="s">
        <v>525</v>
      </c>
      <c r="B36" s="70">
        <v>2845.59</v>
      </c>
      <c r="C36" s="80">
        <v>209</v>
      </c>
      <c r="F36" s="69" t="s">
        <v>840</v>
      </c>
      <c r="G36" s="74" t="s">
        <v>821</v>
      </c>
      <c r="H36" s="74" t="s">
        <v>844</v>
      </c>
    </row>
    <row r="37" spans="1:8" x14ac:dyDescent="0.3">
      <c r="A37" s="38" t="s">
        <v>533</v>
      </c>
      <c r="B37" s="70">
        <v>2628.2699999999995</v>
      </c>
      <c r="C37" s="80">
        <v>332</v>
      </c>
      <c r="F37" s="38" t="s">
        <v>832</v>
      </c>
      <c r="G37" s="70">
        <v>8818.49</v>
      </c>
      <c r="H37" s="78"/>
    </row>
    <row r="38" spans="1:8" x14ac:dyDescent="0.3">
      <c r="A38" s="38" t="s">
        <v>522</v>
      </c>
      <c r="B38" s="70">
        <v>2552</v>
      </c>
      <c r="C38" s="80">
        <v>176</v>
      </c>
      <c r="F38" s="38" t="s">
        <v>833</v>
      </c>
      <c r="G38" s="70">
        <v>2669.25</v>
      </c>
      <c r="H38" s="78">
        <v>-0.69731212486491456</v>
      </c>
    </row>
    <row r="39" spans="1:8" x14ac:dyDescent="0.3">
      <c r="A39" s="38" t="s">
        <v>824</v>
      </c>
      <c r="B39" s="70">
        <v>13898.36</v>
      </c>
      <c r="C39" s="80">
        <v>1122</v>
      </c>
      <c r="F39" s="38" t="s">
        <v>834</v>
      </c>
      <c r="G39" s="70">
        <v>871.65000000000009</v>
      </c>
      <c r="H39" s="78">
        <v>-0.67344759763978645</v>
      </c>
    </row>
    <row r="40" spans="1:8" x14ac:dyDescent="0.3">
      <c r="F40" s="38" t="s">
        <v>835</v>
      </c>
      <c r="G40" s="70">
        <v>22614.980000000003</v>
      </c>
      <c r="H40" s="78">
        <v>24.945023805426491</v>
      </c>
    </row>
    <row r="41" spans="1:8" x14ac:dyDescent="0.3">
      <c r="F41" s="38" t="s">
        <v>836</v>
      </c>
      <c r="G41" s="70">
        <v>12389.34</v>
      </c>
      <c r="H41" s="78">
        <v>-0.45216223936523497</v>
      </c>
    </row>
    <row r="42" spans="1:8" ht="15.6" x14ac:dyDescent="0.3">
      <c r="A42" s="90" t="s">
        <v>828</v>
      </c>
      <c r="B42" s="90"/>
      <c r="C42" s="90"/>
      <c r="F42" s="38" t="s">
        <v>837</v>
      </c>
      <c r="G42" s="70">
        <v>33326.979999999996</v>
      </c>
      <c r="H42" s="78">
        <v>1.6899721857661503</v>
      </c>
    </row>
    <row r="43" spans="1:8" ht="18" x14ac:dyDescent="0.35">
      <c r="A43" s="69" t="s">
        <v>504</v>
      </c>
      <c r="B43" s="74" t="s">
        <v>821</v>
      </c>
      <c r="C43" s="74" t="s">
        <v>827</v>
      </c>
      <c r="F43" s="38" t="s">
        <v>838</v>
      </c>
      <c r="G43" s="70">
        <v>1852.42</v>
      </c>
      <c r="H43" s="78">
        <v>-0.94441680584319376</v>
      </c>
    </row>
    <row r="44" spans="1:8" x14ac:dyDescent="0.3">
      <c r="A44" s="38" t="s">
        <v>716</v>
      </c>
      <c r="B44" s="70">
        <v>139.86000000000001</v>
      </c>
      <c r="C44" s="80">
        <v>14</v>
      </c>
      <c r="F44" s="38" t="s">
        <v>824</v>
      </c>
      <c r="G44" s="70">
        <v>82543.11</v>
      </c>
      <c r="H44" s="78"/>
    </row>
    <row r="45" spans="1:8" x14ac:dyDescent="0.3">
      <c r="A45" s="38" t="s">
        <v>719</v>
      </c>
      <c r="B45" s="70">
        <v>111.72</v>
      </c>
      <c r="C45" s="80">
        <v>28</v>
      </c>
    </row>
    <row r="46" spans="1:8" x14ac:dyDescent="0.3">
      <c r="A46" s="38" t="s">
        <v>723</v>
      </c>
      <c r="B46" s="70">
        <v>54</v>
      </c>
      <c r="C46" s="80">
        <v>12</v>
      </c>
    </row>
    <row r="47" spans="1:8" x14ac:dyDescent="0.3">
      <c r="A47" s="38" t="s">
        <v>725</v>
      </c>
      <c r="B47" s="70">
        <v>45</v>
      </c>
      <c r="C47" s="80">
        <v>10</v>
      </c>
    </row>
    <row r="48" spans="1:8" x14ac:dyDescent="0.3">
      <c r="A48" s="38" t="s">
        <v>730</v>
      </c>
      <c r="B48" s="70">
        <v>31.5</v>
      </c>
      <c r="C48" s="80">
        <v>7</v>
      </c>
    </row>
    <row r="49" spans="1:3" x14ac:dyDescent="0.3">
      <c r="A49" s="38" t="s">
        <v>824</v>
      </c>
      <c r="B49" s="70">
        <v>382.08000000000004</v>
      </c>
      <c r="C49" s="80">
        <v>71</v>
      </c>
    </row>
  </sheetData>
  <mergeCells count="10">
    <mergeCell ref="A42:C42"/>
    <mergeCell ref="A9:C9"/>
    <mergeCell ref="A17:C17"/>
    <mergeCell ref="A32:C32"/>
    <mergeCell ref="F17:H17"/>
    <mergeCell ref="F1:H1"/>
    <mergeCell ref="F9:H9"/>
    <mergeCell ref="J1:L1"/>
    <mergeCell ref="F35:H35"/>
    <mergeCell ref="J14:K14"/>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C93DE-1C6E-4F39-B62C-E932FFBB686B}">
  <sheetPr>
    <tabColor theme="4" tint="-0.499984740745262"/>
  </sheetPr>
  <dimension ref="A1"/>
  <sheetViews>
    <sheetView showGridLines="0" zoomScale="75" zoomScaleNormal="75" workbookViewId="0">
      <selection activeCell="O15" sqref="O15"/>
    </sheetView>
  </sheetViews>
  <sheetFormatPr defaultRowHeight="14.4" x14ac:dyDescent="0.3"/>
  <cols>
    <col min="1" max="8" width="8.88671875" style="81"/>
    <col min="9" max="9" width="8.88671875" style="81" customWidth="1"/>
    <col min="10" max="16384" width="8.88671875" style="8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E91BB9-4CD1-4493-B426-EB3EE63BC7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Sheet3</vt:lpstr>
      <vt:lpstr>Part 1</vt:lpstr>
      <vt:lpstr>Part 2</vt:lpstr>
      <vt:lpstr>Data</vt:lpstr>
      <vt:lpstr>VLOOKUP</vt:lpstr>
      <vt:lpstr>LOGICAL FUNCTIONS</vt:lpstr>
      <vt:lpstr>Pivot Tables Analysis</vt:lpstr>
      <vt:lpstr>Dashboard</vt:lpstr>
      <vt:lpstr>channel</vt:lpstr>
      <vt:lpstr>month</vt:lpstr>
      <vt:lpstr>month_sold</vt:lpstr>
      <vt:lpstr>product</vt:lpstr>
      <vt:lpstr>quantity</vt:lpstr>
      <vt:lpstr>revenue</vt:lpstr>
      <vt:lpstr>SALES_CHANNEL</vt:lpstr>
      <vt:lpstr>zz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2025-12-11T07:35:07Z</dcterms:modified>
</cp:coreProperties>
</file>