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E:\PROFESSIONAL DATA ANALYSIS DIPLOMA\quiz\Quiz2 PQ\"/>
    </mc:Choice>
  </mc:AlternateContent>
  <xr:revisionPtr revIDLastSave="0" documentId="13_ncr:1_{5313DA71-F608-4E32-BF75-97C3A7598F38}" xr6:coauthVersionLast="47" xr6:coauthVersionMax="47" xr10:uidLastSave="{00000000-0000-0000-0000-000000000000}"/>
  <bookViews>
    <workbookView xWindow="-108" yWindow="-108" windowWidth="23256" windowHeight="12576" tabRatio="747" firstSheet="5" activeTab="7" xr2:uid="{123A8D15-B0AD-41B0-9E0C-47FE073A6BC2}"/>
  </bookViews>
  <sheets>
    <sheet name="Finance5" sheetId="6" r:id="rId1"/>
    <sheet name="HR4" sheetId="5" r:id="rId2"/>
    <sheet name="IT3" sheetId="4" r:id="rId3"/>
    <sheet name="Marketing2" sheetId="3" r:id="rId4"/>
    <sheet name="Sales1" sheetId="2" r:id="rId5"/>
    <sheet name="Merged HR Data" sheetId="1" r:id="rId6"/>
    <sheet name="Pivot Tables Analysis" sheetId="7" r:id="rId7"/>
    <sheet name="Deeper Pivot Analysis" sheetId="10" r:id="rId8"/>
    <sheet name="Deeper HR Insights" sheetId="9" r:id="rId9"/>
    <sheet name="Dashboard" sheetId="8" r:id="rId10"/>
  </sheets>
  <definedNames>
    <definedName name="ExternalData_1" localSheetId="5" hidden="1">'Merged HR Data'!$A$1:$U$95</definedName>
    <definedName name="ExternalData_2" localSheetId="4" hidden="1">Sales1!$A$1:$L$38</definedName>
    <definedName name="ExternalData_3" localSheetId="3" hidden="1">Marketing2!$A$1:$L$19</definedName>
    <definedName name="ExternalData_4" localSheetId="2" hidden="1">'IT3'!$A$1:$L$7</definedName>
    <definedName name="ExternalData_5" localSheetId="1" hidden="1">'HR4'!$A$1:$L$24</definedName>
    <definedName name="ExternalData_6" localSheetId="0" hidden="1">Finance5!$A$1:$L$11</definedName>
    <definedName name="Slicer_Experience_Category">#N/A</definedName>
    <definedName name="Slicer_Experience_Range">#N/A</definedName>
    <definedName name="Slicer_Salary_Range">#N/A</definedName>
    <definedName name="Slicer_القسم">#N/A</definedName>
    <definedName name="Slicer_الموقع">#N/A</definedName>
    <definedName name="Slicer_المؤهل_الدراسي">#N/A</definedName>
    <definedName name="Slicer_الوظيفة">#N/A</definedName>
  </definedNames>
  <calcPr calcId="191029"/>
  <pivotCaches>
    <pivotCache cacheId="1"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10" l="1"/>
  <c r="A45" i="10"/>
  <c r="B44" i="10"/>
  <c r="A44" i="10"/>
  <c r="B43" i="10"/>
  <c r="A43" i="10"/>
  <c r="B42" i="10"/>
  <c r="A42" i="10"/>
  <c r="K41" i="10"/>
  <c r="J41" i="10"/>
  <c r="I41" i="10"/>
  <c r="B41" i="10"/>
  <c r="A41" i="10"/>
  <c r="L40" i="10"/>
  <c r="K40" i="10"/>
  <c r="J40" i="10"/>
  <c r="I40" i="10"/>
  <c r="B38" i="10"/>
  <c r="A38" i="10"/>
  <c r="B37" i="10"/>
  <c r="A37" i="10"/>
  <c r="B36" i="10"/>
  <c r="A36" i="10"/>
  <c r="B35" i="10"/>
  <c r="A35" i="10"/>
  <c r="B32" i="10"/>
  <c r="A32" i="10"/>
  <c r="B31" i="10"/>
  <c r="A31" i="10"/>
  <c r="F6" i="7"/>
  <c r="E6" i="7"/>
  <c r="D6" i="7"/>
  <c r="C6" i="7"/>
  <c r="B6" i="7"/>
  <c r="A6" i="7"/>
  <c r="F5" i="7"/>
  <c r="E5" i="7"/>
  <c r="D5" i="7"/>
  <c r="C5" i="7"/>
  <c r="B5" i="7"/>
  <c r="A5" i="7"/>
  <c r="L38" i="10"/>
  <c r="Q31" i="10" l="1"/>
  <c r="L4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C2329C-69F5-444A-B399-686785D169D5}" keepAlive="1" name="Query - All Departments Data" description="Connection to the 'All Departments Data' query in the workbook." type="5" refreshedVersion="8" background="1" saveData="1">
    <dbPr connection="Provider=Microsoft.Mashup.OleDb.1;Data Source=$Workbook$;Location=&quot;All Departments Data&quot;;Extended Properties=&quot;&quot;" command="SELECT * FROM [All Departments Data]"/>
  </connection>
  <connection id="2" xr16:uid="{B1105229-E559-420A-9A37-F6D5B5088372}" keepAlive="1" name="Query - Finance5" description="Connection to the 'Finance5' query in the workbook." type="5" refreshedVersion="8" background="1" saveData="1">
    <dbPr connection="Provider=Microsoft.Mashup.OleDb.1;Data Source=$Workbook$;Location=Finance5;Extended Properties=&quot;&quot;" command="SELECT * FROM [Finance5]"/>
  </connection>
  <connection id="3" xr16:uid="{399B490C-ECF3-4D97-B8D2-92A4B0AD5A2F}" keepAlive="1" name="Query - HR4" description="Connection to the 'HR4' query in the workbook." type="5" refreshedVersion="8" background="1" saveData="1">
    <dbPr connection="Provider=Microsoft.Mashup.OleDb.1;Data Source=$Workbook$;Location=HR4;Extended Properties=&quot;&quot;" command="SELECT * FROM [HR4]"/>
  </connection>
  <connection id="4" xr16:uid="{8915A229-EBA0-4935-BA79-57063507CC2D}" keepAlive="1" name="Query - IT3" description="Connection to the 'IT3' query in the workbook." type="5" refreshedVersion="8" background="1" saveData="1">
    <dbPr connection="Provider=Microsoft.Mashup.OleDb.1;Data Source=$Workbook$;Location=IT3;Extended Properties=&quot;&quot;" command="SELECT * FROM [IT3]"/>
  </connection>
  <connection id="5" xr16:uid="{132B12CD-D743-4F58-8FE8-4FC7BB734AEF}" keepAlive="1" name="Query - Marketing2" description="Connection to the 'Marketing2' query in the workbook." type="5" refreshedVersion="8" background="1" saveData="1">
    <dbPr connection="Provider=Microsoft.Mashup.OleDb.1;Data Source=$Workbook$;Location=Marketing2;Extended Properties=&quot;&quot;" command="SELECT * FROM [Marketing2]"/>
  </connection>
  <connection id="6" xr16:uid="{642ADF4C-AEAF-42FD-8763-7EB0BFB568D7}" keepAlive="1" name="Query - Sales1" description="Connection to the 'Sales1' query in the workbook." type="5" refreshedVersion="8" background="1" saveData="1">
    <dbPr connection="Provider=Microsoft.Mashup.OleDb.1;Data Source=$Workbook$;Location=Sales1;Extended Properties=&quot;&quot;" command="SELECT * FROM [Sales1]"/>
  </connection>
</connections>
</file>

<file path=xl/sharedStrings.xml><?xml version="1.0" encoding="utf-8"?>
<sst xmlns="http://schemas.openxmlformats.org/spreadsheetml/2006/main" count="1735" uniqueCount="148">
  <si>
    <t>المسلسل</t>
  </si>
  <si>
    <t>الرقم الوظيفي</t>
  </si>
  <si>
    <t>اسم الموظف</t>
  </si>
  <si>
    <t>الوظيفة</t>
  </si>
  <si>
    <t>القسم</t>
  </si>
  <si>
    <t>الموقع</t>
  </si>
  <si>
    <t>تاريخ التعيين</t>
  </si>
  <si>
    <t>تاريخ الميلاد</t>
  </si>
  <si>
    <t>المؤهل الدراسي</t>
  </si>
  <si>
    <t>الراتب</t>
  </si>
  <si>
    <t>PER 2019</t>
  </si>
  <si>
    <t>PER 2020</t>
  </si>
  <si>
    <t>Employees Age</t>
  </si>
  <si>
    <t>Experience</t>
  </si>
  <si>
    <t>Total Average Performance</t>
  </si>
  <si>
    <t>Delta</t>
  </si>
  <si>
    <t>أحمد سمير</t>
  </si>
  <si>
    <t>Sales Manager</t>
  </si>
  <si>
    <t>Sales</t>
  </si>
  <si>
    <t>القاهره</t>
  </si>
  <si>
    <t>بكالوريوس</t>
  </si>
  <si>
    <t>هدي محمد</t>
  </si>
  <si>
    <t>Sales rep.</t>
  </si>
  <si>
    <t>الاسكندريه</t>
  </si>
  <si>
    <t>دبلوم</t>
  </si>
  <si>
    <t>أشرف أحمد</t>
  </si>
  <si>
    <t>تامر خالد</t>
  </si>
  <si>
    <t>حازم أحمد</t>
  </si>
  <si>
    <t>يوسف أحمد</t>
  </si>
  <si>
    <t>أحمد فريد</t>
  </si>
  <si>
    <t>طنطا</t>
  </si>
  <si>
    <t>نورهان أحمد</t>
  </si>
  <si>
    <t>منه محمود</t>
  </si>
  <si>
    <t>منه أحمد</t>
  </si>
  <si>
    <t>هند بهاء</t>
  </si>
  <si>
    <t>مارك يوسف</t>
  </si>
  <si>
    <t>يحيي هادي</t>
  </si>
  <si>
    <t>نغم محمد</t>
  </si>
  <si>
    <t>محمد أحمد</t>
  </si>
  <si>
    <t>أحمد حسن</t>
  </si>
  <si>
    <t>محمد علاء</t>
  </si>
  <si>
    <t>علي محمد</t>
  </si>
  <si>
    <t>مهاب أسامة</t>
  </si>
  <si>
    <t>عبد الرحمن محمد</t>
  </si>
  <si>
    <t>محمد راضي</t>
  </si>
  <si>
    <t>الاء أحمد</t>
  </si>
  <si>
    <t>كامل عصام</t>
  </si>
  <si>
    <t>خالد محمد</t>
  </si>
  <si>
    <t>سارة احمد محمد</t>
  </si>
  <si>
    <t>Marketing Manager</t>
  </si>
  <si>
    <t>Marketing</t>
  </si>
  <si>
    <t>الاسكندرية</t>
  </si>
  <si>
    <t>ماجستير</t>
  </si>
  <si>
    <t>ندي إبراهيم</t>
  </si>
  <si>
    <t>Digital marketing specialist</t>
  </si>
  <si>
    <t>القاهرة</t>
  </si>
  <si>
    <t>Products Marketing Coordinator</t>
  </si>
  <si>
    <t>مي محمد ابراهيم</t>
  </si>
  <si>
    <t>مروة محمد عبدالله</t>
  </si>
  <si>
    <t>هالة عبد العال</t>
  </si>
  <si>
    <t>فادي نور</t>
  </si>
  <si>
    <t>نور يحيي</t>
  </si>
  <si>
    <t>اسراء عصام</t>
  </si>
  <si>
    <t>IT Manager</t>
  </si>
  <si>
    <t>IT</t>
  </si>
  <si>
    <t>Software developer</t>
  </si>
  <si>
    <t>HR Manager</t>
  </si>
  <si>
    <t>HR</t>
  </si>
  <si>
    <t>HR Specialist</t>
  </si>
  <si>
    <t>ايمان علي سلامة</t>
  </si>
  <si>
    <t>Recruitment Specialsit</t>
  </si>
  <si>
    <t>HR Coordinator</t>
  </si>
  <si>
    <t>مؤمن محمد</t>
  </si>
  <si>
    <t>حسين ياسر</t>
  </si>
  <si>
    <t>نسمة كامل</t>
  </si>
  <si>
    <t>تغريد يحيي</t>
  </si>
  <si>
    <t>حسن أحمد</t>
  </si>
  <si>
    <t>Financial Manager</t>
  </si>
  <si>
    <t>Finance</t>
  </si>
  <si>
    <t>Accountant</t>
  </si>
  <si>
    <t>Grand Total</t>
  </si>
  <si>
    <t>Min Salary</t>
  </si>
  <si>
    <t>Max Salary</t>
  </si>
  <si>
    <t>Avg Salary</t>
  </si>
  <si>
    <t>Total Salries</t>
  </si>
  <si>
    <t>Avg Salries</t>
  </si>
  <si>
    <t>Average Experience</t>
  </si>
  <si>
    <t>#Employees</t>
  </si>
  <si>
    <t>Main KPI`S</t>
  </si>
  <si>
    <t>Avg Per 2019</t>
  </si>
  <si>
    <t>Avg Per 2020</t>
  </si>
  <si>
    <t>Avg Delta</t>
  </si>
  <si>
    <t>Average Total Average Performance</t>
  </si>
  <si>
    <t>Location</t>
  </si>
  <si>
    <t>Performance Comparison by Location (2019–2020)</t>
  </si>
  <si>
    <t>Average Age &amp; Experience per Location</t>
  </si>
  <si>
    <t>Avg Age</t>
  </si>
  <si>
    <t>Avg Experience(Years)</t>
  </si>
  <si>
    <t>Salary Statistics per Location</t>
  </si>
  <si>
    <t>Total Salary per Job Title in Each Location</t>
  </si>
  <si>
    <t>Total Salary</t>
  </si>
  <si>
    <t>Job Title</t>
  </si>
  <si>
    <t>#Employees per Job Title in Each Location</t>
  </si>
  <si>
    <t>Total Number of Employees per Location</t>
  </si>
  <si>
    <t>Total Salary per Location</t>
  </si>
  <si>
    <t>Education Level Distribution per Location</t>
  </si>
  <si>
    <t>Distribution Of Employees By Department</t>
  </si>
  <si>
    <t>Distribution Of Employees By Educational Level</t>
  </si>
  <si>
    <t>Job Title Distribution</t>
  </si>
  <si>
    <t>Performance Category</t>
  </si>
  <si>
    <t>Salary Range</t>
  </si>
  <si>
    <t>Experience Range</t>
  </si>
  <si>
    <t>Experience Category</t>
  </si>
  <si>
    <t>Age Category</t>
  </si>
  <si>
    <t>Medium</t>
  </si>
  <si>
    <t>&gt;20K</t>
  </si>
  <si>
    <t>15+ Years</t>
  </si>
  <si>
    <t>Senior</t>
  </si>
  <si>
    <t>Mid-age</t>
  </si>
  <si>
    <t>High</t>
  </si>
  <si>
    <t>10K-20K</t>
  </si>
  <si>
    <t>5K-10K</t>
  </si>
  <si>
    <t>10–15 Years</t>
  </si>
  <si>
    <t>Mid-level</t>
  </si>
  <si>
    <t>&lt;5K</t>
  </si>
  <si>
    <t>5–10 Years</t>
  </si>
  <si>
    <t>Junior</t>
  </si>
  <si>
    <t>Low</t>
  </si>
  <si>
    <t>Performance Category Distribution</t>
  </si>
  <si>
    <t>Performance Category by Location</t>
  </si>
  <si>
    <t>High Total</t>
  </si>
  <si>
    <t>Low Total</t>
  </si>
  <si>
    <t>Medium Total</t>
  </si>
  <si>
    <t>Salary Range Distribution</t>
  </si>
  <si>
    <t xml:space="preserve">Salary Range </t>
  </si>
  <si>
    <t>Experience Category Distribution</t>
  </si>
  <si>
    <t xml:space="preserve">Experience Category </t>
  </si>
  <si>
    <t>Age Category Distribution</t>
  </si>
  <si>
    <t>Payroll Concentration by Job Title</t>
  </si>
  <si>
    <t>Department</t>
  </si>
  <si>
    <t>Average Salary by Department</t>
  </si>
  <si>
    <t>Performance</t>
  </si>
  <si>
    <t>Employee</t>
  </si>
  <si>
    <t>Top Performer Employee</t>
  </si>
  <si>
    <t>KPI Cards</t>
  </si>
  <si>
    <t>High &amp; Low Peformers</t>
  </si>
  <si>
    <t>Most Common Salary Range</t>
  </si>
  <si>
    <t>Performance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</si>
</sst>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00"/>
    <numFmt numFmtId="165" formatCode="_(&quot;$&quot;* #,##0_);_(&quot;$&quot;* \(#,##0\);_(&quot;$&quot;* &quot;-&quot;??_);_(@_)"/>
    <numFmt numFmtId="166" formatCode="_(* #,##0_);_(* \(#,##0\);_(* &quot;-&quot;??_);_(@_)"/>
  </numFmts>
  <fonts count="10" x14ac:knownFonts="1">
    <font>
      <sz val="11"/>
      <color theme="1"/>
      <name val="Aptos Narrow"/>
      <family val="2"/>
      <scheme val="minor"/>
    </font>
    <font>
      <sz val="11"/>
      <color theme="1"/>
      <name val="Aptos Narrow"/>
      <family val="2"/>
      <scheme val="minor"/>
    </font>
    <font>
      <b/>
      <sz val="18"/>
      <color theme="0"/>
      <name val="Aptos Narrow"/>
      <family val="2"/>
      <scheme val="minor"/>
    </font>
    <font>
      <b/>
      <sz val="16"/>
      <color theme="0"/>
      <name val="Aptos Narrow"/>
      <family val="2"/>
      <scheme val="minor"/>
    </font>
    <font>
      <b/>
      <sz val="14"/>
      <color theme="0"/>
      <name val="Aptos Narrow"/>
      <family val="2"/>
      <scheme val="minor"/>
    </font>
    <font>
      <b/>
      <sz val="12"/>
      <color theme="0"/>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b/>
      <sz val="20"/>
      <color theme="0"/>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0" fontId="0" fillId="0" borderId="0" xfId="0" applyAlignment="1">
      <alignment horizontal="left"/>
    </xf>
    <xf numFmtId="0" fontId="0" fillId="0" borderId="0" xfId="0" pivotButton="1"/>
    <xf numFmtId="164" fontId="0" fillId="0" borderId="0" xfId="0" applyNumberFormat="1"/>
    <xf numFmtId="165" fontId="0" fillId="0" borderId="0" xfId="0" applyNumberFormat="1"/>
    <xf numFmtId="1" fontId="0" fillId="0" borderId="0" xfId="0" applyNumberFormat="1"/>
    <xf numFmtId="165" fontId="0" fillId="0" borderId="0" xfId="1" applyNumberFormat="1" applyFont="1"/>
    <xf numFmtId="0" fontId="0" fillId="0" borderId="0" xfId="0" applyAlignment="1">
      <alignment horizontal="left" indent="1"/>
    </xf>
    <xf numFmtId="0" fontId="5" fillId="0" borderId="0" xfId="0" applyFont="1" applyAlignment="1">
      <alignment horizontal="center" vertical="center"/>
    </xf>
    <xf numFmtId="0" fontId="4" fillId="0" borderId="0" xfId="0" applyFont="1" applyAlignment="1">
      <alignment vertical="center"/>
    </xf>
    <xf numFmtId="9" fontId="0" fillId="0" borderId="0" xfId="0" applyNumberFormat="1"/>
    <xf numFmtId="2" fontId="0" fillId="0" borderId="0" xfId="0" applyNumberFormat="1"/>
    <xf numFmtId="0" fontId="7" fillId="0" borderId="0" xfId="0" applyFont="1"/>
    <xf numFmtId="9" fontId="7" fillId="0" borderId="0" xfId="2" applyFont="1"/>
    <xf numFmtId="0" fontId="5" fillId="0" borderId="0" xfId="0" applyFont="1"/>
    <xf numFmtId="166" fontId="0" fillId="0" borderId="0" xfId="0" applyNumberFormat="1"/>
    <xf numFmtId="0" fontId="7" fillId="3" borderId="0" xfId="0" applyFont="1" applyFill="1"/>
    <xf numFmtId="0" fontId="5"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left" vertical="center"/>
    </xf>
    <xf numFmtId="0" fontId="0" fillId="0" borderId="0" xfId="0"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9" fillId="2" borderId="0" xfId="0" applyFont="1" applyFill="1" applyAlignment="1">
      <alignment horizontal="center"/>
    </xf>
    <xf numFmtId="0" fontId="0" fillId="0" borderId="0" xfId="0" applyNumberFormat="1"/>
  </cellXfs>
  <cellStyles count="3">
    <cellStyle name="Currency" xfId="1" builtinId="4"/>
    <cellStyle name="Normal" xfId="0" builtinId="0"/>
    <cellStyle name="Percent" xfId="2" builtinId="5"/>
  </cellStyles>
  <dxfs count="276">
    <dxf>
      <numFmt numFmtId="13" formatCode="0%"/>
    </dxf>
    <dxf>
      <numFmt numFmtId="0" formatCode="General"/>
    </dxf>
    <dxf>
      <numFmt numFmtId="13" formatCode="0%"/>
    </dxf>
    <dxf>
      <numFmt numFmtId="13" formatCode="0%"/>
    </dxf>
    <dxf>
      <numFmt numFmtId="13" formatCode="0%"/>
    </dxf>
    <dxf>
      <numFmt numFmtId="0" formatCode="General"/>
    </dxf>
    <dxf>
      <numFmt numFmtId="2" formatCode="0.00"/>
    </dxf>
    <dxf>
      <numFmt numFmtId="166" formatCode="_(* #,##0_);_(* \(#,##0\);_(* &quot;-&quot;??_);_(@_)"/>
    </dxf>
    <dxf>
      <numFmt numFmtId="2" formatCode="0.00"/>
    </dxf>
    <dxf>
      <numFmt numFmtId="2" formatCode="0.00"/>
    </dxf>
    <dxf>
      <numFmt numFmtId="165" formatCode="_(&quot;$&quot;* #,##0_);_(&quot;$&quot;* \(#,##0\);_(&quot;$&quot;* &quot;-&quot;??_);_(@_)"/>
    </dxf>
    <dxf>
      <numFmt numFmtId="14" formatCode="0.00%"/>
    </dxf>
    <dxf>
      <numFmt numFmtId="13" formatCode="0%"/>
    </dxf>
    <dxf>
      <numFmt numFmtId="13" formatCode="0%"/>
    </dxf>
    <dxf>
      <numFmt numFmtId="165" formatCode="_(&quot;$&quot;* #,##0_);_(&quot;$&quot;* \(#,##0\);_(&quot;$&quot;* &quot;-&quot;??_);_(@_)"/>
    </dxf>
    <dxf>
      <numFmt numFmtId="13" formatCode="0%"/>
    </dxf>
    <dxf>
      <numFmt numFmtId="0" formatCode="General"/>
    </dxf>
    <dxf>
      <numFmt numFmtId="14" formatCode="0.00%"/>
    </dxf>
    <dxf>
      <numFmt numFmtId="13" formatCode="0%"/>
    </dxf>
    <dxf>
      <numFmt numFmtId="1" formatCode="0"/>
    </dxf>
    <dxf>
      <numFmt numFmtId="164" formatCode="0.000"/>
    </dxf>
    <dxf>
      <numFmt numFmtId="14" formatCode="0.00%"/>
    </dxf>
    <dxf>
      <numFmt numFmtId="2" formatCode="0.00"/>
    </dxf>
    <dxf>
      <numFmt numFmtId="1" formatCode="0"/>
    </dxf>
    <dxf>
      <numFmt numFmtId="1" formatCode="0"/>
    </dxf>
    <dxf>
      <numFmt numFmtId="164" formatCode="0.000"/>
    </dxf>
    <dxf>
      <numFmt numFmtId="165" formatCode="_(&quot;$&quot;* #,##0_);_(&quot;$&quot;* \(#,##0\);_(&quot;$&quot;* &quot;-&quot;??_);_(@_)"/>
    </dxf>
    <dxf>
      <numFmt numFmtId="1" formatCode="0"/>
    </dxf>
    <dxf>
      <numFmt numFmtId="1" formatCode="0"/>
    </dxf>
    <dxf>
      <numFmt numFmtId="165" formatCode="_(&quot;$&quot;* #,##0_);_(&quot;$&quot;* \(#,##0\);_(&quot;$&quot;* &quot;-&quot;??_);_(@_)"/>
    </dxf>
    <dxf>
      <numFmt numFmtId="14" formatCode="0.00%"/>
    </dxf>
    <dxf>
      <numFmt numFmtId="13" formatCode="0%"/>
    </dxf>
    <dxf>
      <numFmt numFmtId="165" formatCode="_(&quot;$&quot;* #,##0_);_(&quot;$&quot;* \(#,##0\);_(&quot;$&quot;* &quot;-&quot;??_);_(@_)"/>
    </dxf>
    <dxf>
      <numFmt numFmtId="1" formatCode="0"/>
    </dxf>
    <dxf>
      <numFmt numFmtId="1" formatCode="0"/>
    </dxf>
    <dxf>
      <numFmt numFmtId="1" formatCode="0"/>
    </dxf>
    <dxf>
      <numFmt numFmtId="165" formatCode="_(&quot;$&quot;* #,##0_);_(&quot;$&quot;* \(#,##0\);_(&quot;$&quot;* &quot;-&quot;??_);_(@_)"/>
    </dxf>
    <dxf>
      <numFmt numFmtId="13" formatCode="0%"/>
    </dxf>
    <dxf>
      <numFmt numFmtId="0" formatCode="General"/>
    </dxf>
    <dxf>
      <numFmt numFmtId="13" formatCode="0%"/>
    </dxf>
    <dxf>
      <numFmt numFmtId="13" formatCode="0%"/>
    </dxf>
    <dxf>
      <numFmt numFmtId="13" formatCode="0%"/>
    </dxf>
    <dxf>
      <numFmt numFmtId="0" formatCode="General"/>
    </dxf>
    <dxf>
      <numFmt numFmtId="2" formatCode="0.00"/>
    </dxf>
    <dxf>
      <numFmt numFmtId="166" formatCode="_(* #,##0_);_(* \(#,##0\);_(* &quot;-&quot;??_);_(@_)"/>
    </dxf>
    <dxf>
      <numFmt numFmtId="2" formatCode="0.00"/>
    </dxf>
    <dxf>
      <numFmt numFmtId="2" formatCode="0.00"/>
    </dxf>
    <dxf>
      <numFmt numFmtId="165" formatCode="_(&quot;$&quot;* #,##0_);_(&quot;$&quot;* \(#,##0\);_(&quot;$&quot;* &quot;-&quot;??_);_(@_)"/>
    </dxf>
    <dxf>
      <numFmt numFmtId="14" formatCode="0.00%"/>
    </dxf>
    <dxf>
      <numFmt numFmtId="13" formatCode="0%"/>
    </dxf>
    <dxf>
      <numFmt numFmtId="13" formatCode="0%"/>
    </dxf>
    <dxf>
      <numFmt numFmtId="165" formatCode="_(&quot;$&quot;* #,##0_);_(&quot;$&quot;* \(#,##0\);_(&quot;$&quot;* &quot;-&quot;??_);_(@_)"/>
    </dxf>
    <dxf>
      <numFmt numFmtId="13" formatCode="0%"/>
    </dxf>
    <dxf>
      <numFmt numFmtId="0" formatCode="General"/>
    </dxf>
    <dxf>
      <numFmt numFmtId="14" formatCode="0.00%"/>
    </dxf>
    <dxf>
      <numFmt numFmtId="13" formatCode="0%"/>
    </dxf>
    <dxf>
      <numFmt numFmtId="1" formatCode="0"/>
    </dxf>
    <dxf>
      <numFmt numFmtId="164" formatCode="0.000"/>
    </dxf>
    <dxf>
      <numFmt numFmtId="14" formatCode="0.00%"/>
    </dxf>
    <dxf>
      <numFmt numFmtId="2" formatCode="0.00"/>
    </dxf>
    <dxf>
      <numFmt numFmtId="1" formatCode="0"/>
    </dxf>
    <dxf>
      <numFmt numFmtId="1" formatCode="0"/>
    </dxf>
    <dxf>
      <numFmt numFmtId="164" formatCode="0.000"/>
    </dxf>
    <dxf>
      <numFmt numFmtId="165" formatCode="_(&quot;$&quot;* #,##0_);_(&quot;$&quot;* \(#,##0\);_(&quot;$&quot;* &quot;-&quot;??_);_(@_)"/>
    </dxf>
    <dxf>
      <numFmt numFmtId="1" formatCode="0"/>
    </dxf>
    <dxf>
      <numFmt numFmtId="1" formatCode="0"/>
    </dxf>
    <dxf>
      <numFmt numFmtId="165" formatCode="_(&quot;$&quot;* #,##0_);_(&quot;$&quot;* \(#,##0\);_(&quot;$&quot;* &quot;-&quot;??_);_(@_)"/>
    </dxf>
    <dxf>
      <numFmt numFmtId="14" formatCode="0.00%"/>
    </dxf>
    <dxf>
      <numFmt numFmtId="13" formatCode="0%"/>
    </dxf>
    <dxf>
      <numFmt numFmtId="165" formatCode="_(&quot;$&quot;* #,##0_);_(&quot;$&quot;* \(#,##0\);_(&quot;$&quot;* &quot;-&quot;??_);_(@_)"/>
    </dxf>
    <dxf>
      <numFmt numFmtId="1" formatCode="0"/>
    </dxf>
    <dxf>
      <numFmt numFmtId="1" formatCode="0"/>
    </dxf>
    <dxf>
      <numFmt numFmtId="1" formatCode="0"/>
    </dxf>
    <dxf>
      <numFmt numFmtId="165" formatCode="_(&quot;$&quot;* #,##0_);_(&quot;$&quot;* \(#,##0\);_(&quot;$&quot;* &quot;-&quot;??_);_(@_)"/>
    </dxf>
    <dxf>
      <numFmt numFmtId="14" formatCode="0.00%"/>
    </dxf>
    <dxf>
      <numFmt numFmtId="13" formatCode="0%"/>
    </dxf>
    <dxf>
      <numFmt numFmtId="1" formatCode="0"/>
    </dxf>
    <dxf>
      <numFmt numFmtId="14" formatCode="0.00%"/>
    </dxf>
    <dxf>
      <numFmt numFmtId="2" formatCode="0.00"/>
    </dxf>
    <dxf>
      <numFmt numFmtId="1" formatCode="0"/>
    </dxf>
    <dxf>
      <numFmt numFmtId="1" formatCode="0"/>
    </dxf>
    <dxf>
      <numFmt numFmtId="164" formatCode="0.000"/>
    </dxf>
    <dxf>
      <numFmt numFmtId="165" formatCode="_(&quot;$&quot;* #,##0_);_(&quot;$&quot;* \(#,##0\);_(&quot;$&quot;* &quot;-&quot;??_);_(@_)"/>
    </dxf>
    <dxf>
      <numFmt numFmtId="1" formatCode="0"/>
    </dxf>
    <dxf>
      <numFmt numFmtId="1" formatCode="0"/>
    </dxf>
    <dxf>
      <numFmt numFmtId="14" formatCode="0.00%"/>
    </dxf>
    <dxf>
      <numFmt numFmtId="13" formatCode="0%"/>
    </dxf>
    <dxf>
      <numFmt numFmtId="14" formatCode="0.00%"/>
    </dxf>
    <dxf>
      <numFmt numFmtId="13" formatCode="0%"/>
    </dxf>
    <dxf>
      <numFmt numFmtId="1" formatCode="0"/>
    </dxf>
    <dxf>
      <numFmt numFmtId="165" formatCode="_(&quot;$&quot;* #,##0_);_(&quot;$&quot;* \(#,##0\);_(&quot;$&quot;* &quot;-&quot;??_);_(@_)"/>
    </dxf>
    <dxf>
      <numFmt numFmtId="1" formatCode="0"/>
    </dxf>
    <dxf>
      <numFmt numFmtId="1" formatCode="0"/>
    </dxf>
    <dxf>
      <numFmt numFmtId="165" formatCode="_(&quot;$&quot;* #,##0_);_(&quot;$&quot;* \(#,##0\);_(&quot;$&quot;* &quot;-&quot;??_);_(@_)"/>
    </dxf>
    <dxf>
      <numFmt numFmtId="165" formatCode="_(&quot;$&quot;* #,##0_);_(&quot;$&quot;* \(#,##0\);_(&quot;$&quot;* &quot;-&quot;??_);_(@_)"/>
    </dxf>
    <dxf>
      <numFmt numFmtId="164" formatCode="0.000"/>
    </dxf>
    <dxf>
      <numFmt numFmtId="165" formatCode="_(&quot;$&quot;* #,##0_);_(&quot;$&quot;* \(#,##0\);_(&quot;$&quot;* &quot;-&quot;??_);_(@_)"/>
    </dxf>
    <dxf>
      <numFmt numFmtId="165" formatCode="_(&quot;$&quot;* #,##0_);_(&quot;$&quot;* \(#,##0\);_(&quot;$&quot;* &quot;-&quot;??_);_(@_)"/>
    </dxf>
    <dxf>
      <numFmt numFmtId="13" formatCode="0%"/>
    </dxf>
    <dxf>
      <numFmt numFmtId="0" formatCode="General"/>
    </dxf>
    <dxf>
      <numFmt numFmtId="13" formatCode="0%"/>
    </dxf>
    <dxf>
      <numFmt numFmtId="0" formatCode="General"/>
    </dxf>
    <dxf>
      <numFmt numFmtId="13" formatCode="0%"/>
    </dxf>
    <dxf>
      <numFmt numFmtId="2" formatCode="0.00"/>
    </dxf>
    <dxf>
      <numFmt numFmtId="166" formatCode="_(* #,##0_);_(* \(#,##0\);_(* &quot;-&quot;??_);_(@_)"/>
    </dxf>
    <dxf>
      <numFmt numFmtId="2" formatCode="0.00"/>
    </dxf>
    <dxf>
      <numFmt numFmtId="2" formatCode="0.00"/>
    </dxf>
    <dxf>
      <numFmt numFmtId="13" formatCode="0%"/>
    </dxf>
    <dxf>
      <numFmt numFmtId="0" formatCode="General"/>
    </dxf>
    <dxf>
      <numFmt numFmtId="13" formatCode="0%"/>
    </dxf>
    <dxf>
      <numFmt numFmtId="13" formatCode="0%"/>
    </dxf>
    <dxf>
      <numFmt numFmtId="14" formatCode="0.00%"/>
    </dxf>
    <dxf>
      <numFmt numFmtId="13" formatCode="0%"/>
    </dxf>
    <dxf>
      <numFmt numFmtId="1" formatCode="0"/>
    </dxf>
    <dxf>
      <numFmt numFmtId="14" formatCode="0.00%"/>
    </dxf>
    <dxf>
      <numFmt numFmtId="2" formatCode="0.00"/>
    </dxf>
    <dxf>
      <numFmt numFmtId="1" formatCode="0"/>
    </dxf>
    <dxf>
      <numFmt numFmtId="1" formatCode="0"/>
    </dxf>
    <dxf>
      <numFmt numFmtId="164" formatCode="0.000"/>
    </dxf>
    <dxf>
      <numFmt numFmtId="165" formatCode="_(&quot;$&quot;* #,##0_);_(&quot;$&quot;* \(#,##0\);_(&quot;$&quot;* &quot;-&quot;??_);_(@_)"/>
    </dxf>
    <dxf>
      <numFmt numFmtId="1" formatCode="0"/>
    </dxf>
    <dxf>
      <numFmt numFmtId="1" formatCode="0"/>
    </dxf>
    <dxf>
      <numFmt numFmtId="14" formatCode="0.00%"/>
    </dxf>
    <dxf>
      <numFmt numFmtId="13" formatCode="0%"/>
    </dxf>
    <dxf>
      <numFmt numFmtId="14" formatCode="0.00%"/>
    </dxf>
    <dxf>
      <numFmt numFmtId="13" formatCode="0%"/>
    </dxf>
    <dxf>
      <numFmt numFmtId="1" formatCode="0"/>
    </dxf>
    <dxf>
      <numFmt numFmtId="165" formatCode="_(&quot;$&quot;* #,##0_);_(&quot;$&quot;* \(#,##0\);_(&quot;$&quot;* &quot;-&quot;??_);_(@_)"/>
    </dxf>
    <dxf>
      <numFmt numFmtId="1" formatCode="0"/>
    </dxf>
    <dxf>
      <numFmt numFmtId="1" formatCode="0"/>
    </dxf>
    <dxf>
      <numFmt numFmtId="165" formatCode="_(&quot;$&quot;* #,##0_);_(&quot;$&quot;* \(#,##0\);_(&quot;$&quot;* &quot;-&quot;??_);_(@_)"/>
    </dxf>
    <dxf>
      <numFmt numFmtId="165" formatCode="_(&quot;$&quot;* #,##0_);_(&quot;$&quot;* \(#,##0\);_(&quot;$&quot;* &quot;-&quot;??_);_(@_)"/>
    </dxf>
    <dxf>
      <numFmt numFmtId="164" formatCode="0.000"/>
    </dxf>
    <dxf>
      <numFmt numFmtId="165" formatCode="_(&quot;$&quot;* #,##0_);_(&quot;$&quot;* \(#,##0\);_(&quot;$&quot;* &quot;-&quot;??_);_(@_)"/>
    </dxf>
    <dxf>
      <numFmt numFmtId="165" formatCode="_(&quot;$&quot;* #,##0_);_(&quot;$&quot;* \(#,##0\);_(&quot;$&quot;* &quot;-&quot;??_);_(@_)"/>
    </dxf>
    <dxf>
      <numFmt numFmtId="13" formatCode="0%"/>
    </dxf>
    <dxf>
      <numFmt numFmtId="0" formatCode="General"/>
    </dxf>
    <dxf>
      <numFmt numFmtId="13" formatCode="0%"/>
    </dxf>
    <dxf>
      <numFmt numFmtId="0" formatCode="General"/>
    </dxf>
    <dxf>
      <numFmt numFmtId="13" formatCode="0%"/>
    </dxf>
    <dxf>
      <numFmt numFmtId="2" formatCode="0.00"/>
    </dxf>
    <dxf>
      <numFmt numFmtId="166" formatCode="_(* #,##0_);_(* \(#,##0\);_(* &quot;-&quot;??_);_(@_)"/>
    </dxf>
    <dxf>
      <numFmt numFmtId="2" formatCode="0.00"/>
    </dxf>
    <dxf>
      <numFmt numFmtId="2" formatCode="0.00"/>
    </dxf>
    <dxf>
      <numFmt numFmtId="13" formatCode="0%"/>
    </dxf>
    <dxf>
      <numFmt numFmtId="0" formatCode="General"/>
    </dxf>
    <dxf>
      <numFmt numFmtId="13" formatCode="0%"/>
    </dxf>
    <dxf>
      <numFmt numFmtId="13" formatCode="0%"/>
    </dxf>
    <dxf>
      <numFmt numFmtId="14" formatCode="0.00%"/>
    </dxf>
    <dxf>
      <numFmt numFmtId="13" formatCode="0%"/>
    </dxf>
    <dxf>
      <numFmt numFmtId="14" formatCode="0.00%"/>
    </dxf>
    <dxf>
      <numFmt numFmtId="13" formatCode="0%"/>
    </dxf>
    <dxf>
      <numFmt numFmtId="1" formatCode="0"/>
    </dxf>
    <dxf>
      <numFmt numFmtId="14" formatCode="0.00%"/>
    </dxf>
    <dxf>
      <numFmt numFmtId="2" formatCode="0.00"/>
    </dxf>
    <dxf>
      <numFmt numFmtId="1" formatCode="0"/>
    </dxf>
    <dxf>
      <numFmt numFmtId="1" formatCode="0"/>
    </dxf>
    <dxf>
      <numFmt numFmtId="164" formatCode="0.000"/>
    </dxf>
    <dxf>
      <numFmt numFmtId="165" formatCode="_(&quot;$&quot;* #,##0_);_(&quot;$&quot;* \(#,##0\);_(&quot;$&quot;* &quot;-&quot;??_);_(@_)"/>
    </dxf>
    <dxf>
      <numFmt numFmtId="1" formatCode="0"/>
    </dxf>
    <dxf>
      <numFmt numFmtId="1" formatCode="0"/>
    </dxf>
    <dxf>
      <numFmt numFmtId="14" formatCode="0.00%"/>
    </dxf>
    <dxf>
      <numFmt numFmtId="13" formatCode="0%"/>
    </dxf>
    <dxf>
      <numFmt numFmtId="14" formatCode="0.00%"/>
    </dxf>
    <dxf>
      <numFmt numFmtId="13" formatCode="0%"/>
    </dxf>
    <dxf>
      <numFmt numFmtId="1" formatCode="0"/>
    </dxf>
    <dxf>
      <numFmt numFmtId="165" formatCode="_(&quot;$&quot;* #,##0_);_(&quot;$&quot;* \(#,##0\);_(&quot;$&quot;* &quot;-&quot;??_);_(@_)"/>
    </dxf>
    <dxf>
      <numFmt numFmtId="1" formatCode="0"/>
    </dxf>
    <dxf>
      <numFmt numFmtId="1" formatCode="0"/>
    </dxf>
    <dxf>
      <numFmt numFmtId="165" formatCode="_(&quot;$&quot;* #,##0_);_(&quot;$&quot;* \(#,##0\);_(&quot;$&quot;* &quot;-&quot;??_);_(@_)"/>
    </dxf>
    <dxf>
      <numFmt numFmtId="165" formatCode="_(&quot;$&quot;* #,##0_);_(&quot;$&quot;* \(#,##0\);_(&quot;$&quot;* &quot;-&quot;??_);_(@_)"/>
    </dxf>
    <dxf>
      <numFmt numFmtId="164" formatCode="0.000"/>
    </dxf>
    <dxf>
      <numFmt numFmtId="165" formatCode="_(&quot;$&quot;* #,##0_);_(&quot;$&quot;* \(#,##0\);_(&quot;$&quot;* &quot;-&quot;??_);_(@_)"/>
    </dxf>
    <dxf>
      <numFmt numFmtId="165" formatCode="_(&quot;$&quot;* #,##0_);_(&quot;$&quot;* \(#,##0\);_(&quot;$&quot;* &quot;-&quot;??_);_(@_)"/>
    </dxf>
    <dxf>
      <numFmt numFmtId="13" formatCode="0%"/>
    </dxf>
    <dxf>
      <numFmt numFmtId="0" formatCode="General"/>
    </dxf>
    <dxf>
      <numFmt numFmtId="13" formatCode="0%"/>
    </dxf>
    <dxf>
      <numFmt numFmtId="0" formatCode="General"/>
    </dxf>
    <dxf>
      <numFmt numFmtId="13" formatCode="0%"/>
    </dxf>
    <dxf>
      <numFmt numFmtId="2" formatCode="0.00"/>
    </dxf>
    <dxf>
      <numFmt numFmtId="166" formatCode="_(* #,##0_);_(* \(#,##0\);_(* &quot;-&quot;??_);_(@_)"/>
    </dxf>
    <dxf>
      <numFmt numFmtId="2" formatCode="0.00"/>
    </dxf>
    <dxf>
      <numFmt numFmtId="2" formatCode="0.00"/>
    </dxf>
    <dxf>
      <numFmt numFmtId="13" formatCode="0%"/>
    </dxf>
    <dxf>
      <numFmt numFmtId="0" formatCode="General"/>
    </dxf>
    <dxf>
      <numFmt numFmtId="13" formatCode="0%"/>
    </dxf>
    <dxf>
      <numFmt numFmtId="13" formatCode="0%"/>
    </dxf>
    <dxf>
      <numFmt numFmtId="14" formatCode="0.00%"/>
    </dxf>
    <dxf>
      <numFmt numFmtId="13" formatCode="0%"/>
    </dxf>
    <dxf>
      <numFmt numFmtId="0" formatCode="General"/>
    </dxf>
    <dxf>
      <numFmt numFmtId="13" formatCode="0%"/>
    </dxf>
    <dxf>
      <numFmt numFmtId="165" formatCode="_(&quot;$&quot;* #,##0_);_(&quot;$&quot;* \(#,##0\);_(&quot;$&quot;* &quot;-&quot;??_);_(@_)"/>
    </dxf>
    <dxf>
      <numFmt numFmtId="13" formatCode="0%"/>
    </dxf>
    <dxf>
      <numFmt numFmtId="13" formatCode="0%"/>
    </dxf>
    <dxf>
      <numFmt numFmtId="14" formatCode="0.00%"/>
    </dxf>
    <dxf>
      <numFmt numFmtId="165" formatCode="_(&quot;$&quot;* #,##0_);_(&quot;$&quot;* \(#,##0\);_(&quot;$&quot;* &quot;-&quot;??_);_(@_)"/>
    </dxf>
    <dxf>
      <numFmt numFmtId="2" formatCode="0.00"/>
    </dxf>
    <dxf>
      <numFmt numFmtId="2" formatCode="0.00"/>
    </dxf>
    <dxf>
      <numFmt numFmtId="166" formatCode="_(* #,##0_);_(* \(#,##0\);_(* &quot;-&quot;??_);_(@_)"/>
    </dxf>
    <dxf>
      <numFmt numFmtId="2" formatCode="0.00"/>
    </dxf>
    <dxf>
      <numFmt numFmtId="0" formatCode="General"/>
    </dxf>
    <dxf>
      <numFmt numFmtId="13" formatCode="0%"/>
    </dxf>
    <dxf>
      <numFmt numFmtId="13" formatCode="0%"/>
    </dxf>
    <dxf>
      <numFmt numFmtId="13" formatCode="0%"/>
    </dxf>
    <dxf>
      <numFmt numFmtId="0" formatCode="General"/>
    </dxf>
    <dxf>
      <numFmt numFmtId="13" formatCode="0%"/>
    </dxf>
    <dxf>
      <numFmt numFmtId="165" formatCode="_(&quot;$&quot;* #,##0_);_(&quot;$&quot;* \(#,##0\);_(&quot;$&quot;* &quot;-&quot;??_);_(@_)"/>
    </dxf>
    <dxf>
      <numFmt numFmtId="1" formatCode="0"/>
    </dxf>
    <dxf>
      <numFmt numFmtId="1" formatCode="0"/>
    </dxf>
    <dxf>
      <numFmt numFmtId="1" formatCode="0"/>
    </dxf>
    <dxf>
      <numFmt numFmtId="165" formatCode="_(&quot;$&quot;* #,##0_);_(&quot;$&quot;* \(#,##0\);_(&quot;$&quot;* &quot;-&quot;??_);_(@_)"/>
    </dxf>
    <dxf>
      <numFmt numFmtId="13" formatCode="0%"/>
    </dxf>
    <dxf>
      <numFmt numFmtId="14" formatCode="0.00%"/>
    </dxf>
    <dxf>
      <numFmt numFmtId="165" formatCode="_(&quot;$&quot;* #,##0_);_(&quot;$&quot;* \(#,##0\);_(&quot;$&quot;* &quot;-&quot;??_);_(@_)"/>
    </dxf>
    <dxf>
      <numFmt numFmtId="1" formatCode="0"/>
    </dxf>
    <dxf>
      <numFmt numFmtId="1" formatCode="0"/>
    </dxf>
    <dxf>
      <numFmt numFmtId="165" formatCode="_(&quot;$&quot;* #,##0_);_(&quot;$&quot;* \(#,##0\);_(&quot;$&quot;* &quot;-&quot;??_);_(@_)"/>
    </dxf>
    <dxf>
      <numFmt numFmtId="164" formatCode="0.000"/>
    </dxf>
    <dxf>
      <numFmt numFmtId="1" formatCode="0"/>
    </dxf>
    <dxf>
      <numFmt numFmtId="1" formatCode="0"/>
    </dxf>
    <dxf>
      <numFmt numFmtId="2" formatCode="0.00"/>
    </dxf>
    <dxf>
      <numFmt numFmtId="14" formatCode="0.00%"/>
    </dxf>
    <dxf>
      <numFmt numFmtId="164" formatCode="0.000"/>
    </dxf>
    <dxf>
      <numFmt numFmtId="1" formatCode="0"/>
    </dxf>
    <dxf>
      <numFmt numFmtId="13" formatCode="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font>
        <b/>
        <i val="0"/>
        <sz val="14"/>
      </font>
      <fill>
        <patternFill>
          <bgColor theme="0"/>
        </patternFill>
      </fill>
      <border>
        <left style="thick">
          <color auto="1"/>
        </left>
        <right style="thick">
          <color auto="1"/>
        </right>
        <top style="thick">
          <color auto="1"/>
        </top>
        <bottom style="thick">
          <color auto="1"/>
        </bottom>
        <vertical style="thin">
          <color auto="1"/>
        </vertical>
      </border>
    </dxf>
    <dxf>
      <border>
        <left style="medium">
          <color auto="1"/>
        </left>
        <right style="medium">
          <color auto="1"/>
        </right>
        <top style="medium">
          <color auto="1"/>
        </top>
        <bottom style="medium">
          <color auto="1"/>
        </bottom>
        <horizontal style="medium">
          <color auto="1"/>
        </horizontal>
      </border>
    </dxf>
  </dxfs>
  <tableStyles count="1" defaultTableStyle="TableStyleMedium2" defaultPivotStyle="PivotStyleLight16">
    <tableStyle name="Slicer Style 1" pivot="0" table="0" count="4" xr9:uid="{4B06AC74-960E-41B7-968C-F04222B2840D}">
      <tableStyleElement type="wholeTable" dxfId="275"/>
      <tableStyleElement type="headerRow" dxfId="274"/>
    </tableStyle>
  </tableStyles>
  <extLst>
    <ext xmlns:x14="http://schemas.microsoft.com/office/spreadsheetml/2009/9/main" uri="{46F421CA-312F-682f-3DD2-61675219B42D}">
      <x14:dxfs count="2">
        <dxf>
          <fill>
            <patternFill>
              <bgColor theme="2"/>
            </patternFill>
          </fill>
        </dxf>
        <dxf>
          <font>
            <b/>
            <i val="0"/>
            <sz val="14"/>
          </font>
          <fill>
            <patternFill>
              <bgColor theme="2"/>
            </patternFill>
          </fill>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[Quiz2 Power Query (version 2).xlsx]Deeper Pivot Analysis!PivotTable1</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a:t>
            </a:r>
            <a:r>
              <a:rPr lang="en-US" sz="1800" b="1" baseline="0">
                <a:solidFill>
                  <a:schemeClr val="tx1"/>
                </a:solidFill>
              </a:rPr>
              <a:t> Performance Category By Employees</a:t>
            </a:r>
            <a:endParaRPr lang="en-US" sz="1800" b="1">
              <a:solidFill>
                <a:schemeClr val="tx1"/>
              </a:solidFill>
            </a:endParaRPr>
          </a:p>
        </c:rich>
      </c:tx>
      <c:overlay val="0"/>
      <c:spPr>
        <a:solidFill>
          <a:srgbClr val="E8E8E8"/>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pPr>
            <a:solidFill>
              <a:schemeClr val="accent4"/>
            </a:solidFill>
            <a:ln w="9525">
              <a:solidFill>
                <a:schemeClr val="accent4"/>
              </a:solidFill>
            </a:ln>
            <a:effectLst/>
          </c:spPr>
        </c:marker>
      </c:pivotFmt>
      <c:pivotFmt>
        <c:idx val="3"/>
        <c:spPr>
          <a:solidFill>
            <a:schemeClr val="accent4"/>
          </a:solidFill>
          <a:ln>
            <a:noFill/>
          </a:ln>
          <a:effectLst/>
        </c:spPr>
        <c:marker>
          <c:spPr>
            <a:solidFill>
              <a:schemeClr val="accent4"/>
            </a:solidFill>
            <a:ln w="9525">
              <a:solidFill>
                <a:schemeClr val="accent4"/>
              </a:solidFill>
            </a:ln>
            <a:effectLst/>
          </c:spPr>
        </c:marker>
      </c:pivotFmt>
      <c:pivotFmt>
        <c:idx val="4"/>
        <c:spPr>
          <a:solidFill>
            <a:schemeClr val="accent4"/>
          </a:solidFill>
          <a:ln>
            <a:noFill/>
          </a:ln>
          <a:effectLst/>
        </c:spPr>
        <c:marker>
          <c:spPr>
            <a:solidFill>
              <a:schemeClr val="accent4"/>
            </a:solidFill>
            <a:ln w="9525">
              <a:solidFill>
                <a:schemeClr val="accent4"/>
              </a:solidFill>
            </a:ln>
            <a:effectLst/>
          </c:spPr>
        </c:marker>
      </c:pivotFmt>
      <c:pivotFmt>
        <c:idx val="5"/>
        <c:spPr>
          <a:solidFill>
            <a:schemeClr val="accent4"/>
          </a:solidFill>
          <a:ln>
            <a:noFill/>
          </a:ln>
          <a:effectLst/>
        </c:spPr>
        <c:marker>
          <c:spPr>
            <a:solidFill>
              <a:schemeClr val="accent4"/>
            </a:solidFill>
            <a:ln w="9525">
              <a:solidFill>
                <a:schemeClr val="accent4"/>
              </a:solidFill>
            </a:ln>
            <a:effectLst/>
          </c:spPr>
        </c:marker>
      </c:pivotFmt>
      <c:pivotFmt>
        <c:idx val="6"/>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solidFill>
          <a:ln>
            <a:noFill/>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4"/>
          </a:solidFill>
          <a:ln>
            <a:noFill/>
          </a:ln>
          <a:effectLst/>
        </c:spPr>
        <c:marker>
          <c:spPr>
            <a:solidFill>
              <a:schemeClr val="accent4"/>
            </a:solidFill>
            <a:ln w="9525">
              <a:solidFill>
                <a:schemeClr val="accent4"/>
              </a:solidFill>
            </a:ln>
            <a:effectLst/>
          </c:spPr>
        </c:marker>
      </c:pivotFmt>
      <c:pivotFmt>
        <c:idx val="10"/>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4"/>
          </a:solidFill>
          <a:ln>
            <a:noFill/>
          </a:ln>
          <a:effectLst/>
        </c:spPr>
        <c:marker>
          <c:spPr>
            <a:solidFill>
              <a:schemeClr val="accent4"/>
            </a:solidFill>
            <a:ln w="9525">
              <a:solidFill>
                <a:schemeClr val="accent4"/>
              </a:solidFill>
            </a:ln>
            <a:effectLst/>
          </c:spPr>
        </c:marker>
      </c:pivotFmt>
      <c:pivotFmt>
        <c:idx val="13"/>
        <c:marker>
          <c:spPr>
            <a:solidFill>
              <a:schemeClr val="accent4"/>
            </a:solidFill>
            <a:ln w="9525">
              <a:solidFill>
                <a:schemeClr val="accent4"/>
              </a:solidFill>
            </a:ln>
            <a:effectLst/>
          </c:spPr>
        </c:marker>
      </c:pivotFmt>
      <c:pivotFmt>
        <c:idx val="14"/>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4">
              <a:shade val="53000"/>
            </a:schemeClr>
          </a:solidFill>
          <a:ln>
            <a:noFill/>
          </a:ln>
          <a:effectLst/>
        </c:spPr>
        <c:dLbl>
          <c:idx val="0"/>
          <c:layout>
            <c:manualLayout>
              <c:x val="-0.16111111111111109"/>
              <c:y val="-7.870370370370370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4">
              <a:tint val="54000"/>
            </a:schemeClr>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17"/>
        <c:spPr>
          <a:solidFill>
            <a:schemeClr val="accent4">
              <a:tint val="77000"/>
            </a:schemeClr>
          </a:solidFill>
          <a:ln>
            <a:noFill/>
          </a:ln>
          <a:effectLst/>
        </c:spPr>
        <c:dLbl>
          <c:idx val="0"/>
          <c:layout>
            <c:manualLayout>
              <c:x val="0.12777777777777788"/>
              <c:y val="-4.62962962962963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0.14791666666666667"/>
              <c:y val="8.660777158952681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4">
              <a:shade val="76000"/>
            </a:schemeClr>
          </a:solidFill>
          <a:ln>
            <a:noFill/>
          </a:ln>
          <a:effectLst/>
        </c:spPr>
        <c:dLbl>
          <c:idx val="0"/>
          <c:layout>
            <c:manualLayout>
              <c:x val="-0.25833322397200348"/>
              <c:y val="8.333333333333332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4444444444444"/>
                  <c:h val="0.13824074074074075"/>
                </c:manualLayout>
              </c15:layout>
            </c:ext>
          </c:extLst>
        </c:dLbl>
      </c:pivotFmt>
      <c:pivotFmt>
        <c:idx val="20"/>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4">
              <a:tint val="54000"/>
            </a:schemeClr>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22"/>
        <c:spPr>
          <a:solidFill>
            <a:schemeClr val="accent4">
              <a:tint val="77000"/>
            </a:schemeClr>
          </a:solidFill>
          <a:ln>
            <a:noFill/>
          </a:ln>
          <a:effectLst/>
        </c:spPr>
        <c:dLbl>
          <c:idx val="0"/>
          <c:layout>
            <c:manualLayout>
              <c:x val="0.12777777777777788"/>
              <c:y val="-4.62962962962963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dLbl>
          <c:idx val="0"/>
          <c:layout>
            <c:manualLayout>
              <c:x val="0.14791666666666667"/>
              <c:y val="8.660777158952681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4">
              <a:shade val="76000"/>
            </a:schemeClr>
          </a:solidFill>
          <a:ln>
            <a:noFill/>
          </a:ln>
          <a:effectLst/>
        </c:spPr>
        <c:dLbl>
          <c:idx val="0"/>
          <c:layout>
            <c:manualLayout>
              <c:x val="-0.25833322397200348"/>
              <c:y val="8.333333333333332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4444444444444"/>
                  <c:h val="0.13824074074074075"/>
                </c:manualLayout>
              </c15:layout>
            </c:ext>
          </c:extLst>
        </c:dLbl>
      </c:pivotFmt>
      <c:pivotFmt>
        <c:idx val="25"/>
        <c:spPr>
          <a:solidFill>
            <a:schemeClr val="accent4">
              <a:shade val="53000"/>
            </a:schemeClr>
          </a:solidFill>
          <a:ln>
            <a:noFill/>
          </a:ln>
          <a:effectLst/>
        </c:spPr>
        <c:dLbl>
          <c:idx val="0"/>
          <c:layout>
            <c:manualLayout>
              <c:x val="-0.16111111111111109"/>
              <c:y val="-7.870370370370370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4">
              <a:tint val="54000"/>
            </a:schemeClr>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28"/>
        <c:spPr>
          <a:solidFill>
            <a:schemeClr val="accent4">
              <a:tint val="77000"/>
            </a:schemeClr>
          </a:solidFill>
          <a:ln>
            <a:noFill/>
          </a:ln>
          <a:effectLst/>
        </c:spPr>
        <c:dLbl>
          <c:idx val="0"/>
          <c:layout>
            <c:manualLayout>
              <c:x val="0.12777777777777788"/>
              <c:y val="-4.62962962962963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dLbl>
          <c:idx val="0"/>
          <c:layout>
            <c:manualLayout>
              <c:x val="0.14791666666666667"/>
              <c:y val="8.660777158952681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4">
              <a:shade val="76000"/>
            </a:schemeClr>
          </a:solidFill>
          <a:ln>
            <a:noFill/>
          </a:ln>
          <a:effectLst/>
        </c:spPr>
        <c:dLbl>
          <c:idx val="0"/>
          <c:layout>
            <c:manualLayout>
              <c:x val="-0.25833322397200348"/>
              <c:y val="8.333333333333332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4444444444444"/>
                  <c:h val="0.13824074074074075"/>
                </c:manualLayout>
              </c15:layout>
            </c:ext>
          </c:extLst>
        </c:dLbl>
      </c:pivotFmt>
      <c:pivotFmt>
        <c:idx val="31"/>
        <c:spPr>
          <a:solidFill>
            <a:schemeClr val="accent4">
              <a:shade val="53000"/>
            </a:schemeClr>
          </a:solidFill>
          <a:ln>
            <a:noFill/>
          </a:ln>
          <a:effectLst/>
        </c:spPr>
        <c:dLbl>
          <c:idx val="0"/>
          <c:layout>
            <c:manualLayout>
              <c:x val="-0.16111111111111109"/>
              <c:y val="-7.870370370370370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4">
              <a:tint val="54000"/>
            </a:schemeClr>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34"/>
        <c:spPr>
          <a:solidFill>
            <a:srgbClr val="0E2841">
              <a:lumMod val="50000"/>
              <a:lumOff val="50000"/>
            </a:srgbClr>
          </a:solidFill>
          <a:ln>
            <a:noFill/>
          </a:ln>
          <a:effectLst/>
        </c:spPr>
        <c:dLbl>
          <c:idx val="0"/>
          <c:layout>
            <c:manualLayout>
              <c:x val="0.18055566491688529"/>
              <c:y val="0.10648148148148148"/>
            </c:manualLayout>
          </c:layout>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8262489063867013"/>
                  <c:h val="0.10949074074074074"/>
                </c:manualLayout>
              </c15:layout>
            </c:ext>
          </c:extLst>
        </c:dLbl>
      </c:pivotFmt>
      <c:pivotFmt>
        <c:idx val="35"/>
        <c:spPr>
          <a:solidFill>
            <a:srgbClr val="0E2841">
              <a:lumMod val="75000"/>
              <a:lumOff val="25000"/>
            </a:srgbClr>
          </a:solidFill>
          <a:ln>
            <a:noFill/>
          </a:ln>
          <a:effectLst/>
        </c:spPr>
        <c:dLbl>
          <c:idx val="0"/>
          <c:layout>
            <c:manualLayout>
              <c:x val="-0.18402777777777779"/>
              <c:y val="0.10049668270632837"/>
            </c:manualLayout>
          </c:layout>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897222222222222"/>
                  <c:h val="0.14953703703703702"/>
                </c:manualLayout>
              </c15:layout>
            </c:ext>
          </c:extLst>
        </c:dLbl>
      </c:pivotFmt>
      <c:pivotFmt>
        <c:idx val="36"/>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4">
              <a:tint val="54000"/>
            </a:schemeClr>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38"/>
        <c:spPr>
          <a:solidFill>
            <a:srgbClr val="0E2841">
              <a:lumMod val="50000"/>
              <a:lumOff val="50000"/>
            </a:srgbClr>
          </a:solidFill>
          <a:ln>
            <a:noFill/>
          </a:ln>
          <a:effectLst/>
        </c:spPr>
        <c:dLbl>
          <c:idx val="0"/>
          <c:layout>
            <c:manualLayout>
              <c:x val="0.18055566491688529"/>
              <c:y val="0.10648148148148148"/>
            </c:manualLayout>
          </c:layout>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8262489063867013"/>
                  <c:h val="0.10949074074074074"/>
                </c:manualLayout>
              </c15:layout>
            </c:ext>
          </c:extLst>
        </c:dLbl>
      </c:pivotFmt>
      <c:pivotFmt>
        <c:idx val="39"/>
        <c:spPr>
          <a:solidFill>
            <a:srgbClr val="0E2841">
              <a:lumMod val="75000"/>
              <a:lumOff val="25000"/>
            </a:srgbClr>
          </a:solidFill>
          <a:ln>
            <a:noFill/>
          </a:ln>
          <a:effectLst/>
        </c:spPr>
        <c:dLbl>
          <c:idx val="0"/>
          <c:layout>
            <c:manualLayout>
              <c:x val="-0.18402777777777779"/>
              <c:y val="0.10049668270632837"/>
            </c:manualLayout>
          </c:layout>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897222222222222"/>
                  <c:h val="0.14953703703703702"/>
                </c:manualLayout>
              </c15:layout>
            </c:ext>
          </c:extLst>
        </c:dLbl>
      </c:pivotFmt>
      <c:pivotFmt>
        <c:idx val="40"/>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1"/>
        <c:spPr>
          <a:solidFill>
            <a:schemeClr val="accent4">
              <a:tint val="54000"/>
            </a:schemeClr>
          </a:solidFill>
          <a:ln>
            <a:noFill/>
          </a:ln>
          <a:effectLst/>
        </c:spPr>
        <c:dLbl>
          <c:idx val="0"/>
          <c:layout>
            <c:manualLayout>
              <c:x val="5.7438698541060637E-2"/>
              <c:y val="-0.1945003908409754"/>
            </c:manualLayout>
          </c:layout>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4251732046"/>
                  <c:h val="0.1188703742540657"/>
                </c:manualLayout>
              </c15:layout>
            </c:ext>
          </c:extLst>
        </c:dLbl>
      </c:pivotFmt>
      <c:pivotFmt>
        <c:idx val="42"/>
        <c:spPr>
          <a:solidFill>
            <a:srgbClr val="0E2841">
              <a:lumMod val="50000"/>
              <a:lumOff val="50000"/>
            </a:srgbClr>
          </a:solidFill>
          <a:ln>
            <a:noFill/>
          </a:ln>
          <a:effectLst/>
        </c:spPr>
        <c:dLbl>
          <c:idx val="0"/>
          <c:layout>
            <c:manualLayout>
              <c:x val="0.12898548154453665"/>
              <c:y val="0.18880602848372766"/>
            </c:manualLayout>
          </c:layout>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8262489063867013"/>
                  <c:h val="0.10949074074074074"/>
                </c:manualLayout>
              </c15:layout>
            </c:ext>
          </c:extLst>
        </c:dLbl>
      </c:pivotFmt>
      <c:pivotFmt>
        <c:idx val="43"/>
        <c:spPr>
          <a:solidFill>
            <a:srgbClr val="0E2841">
              <a:lumMod val="75000"/>
              <a:lumOff val="25000"/>
            </a:srgbClr>
          </a:solidFill>
          <a:ln>
            <a:noFill/>
          </a:ln>
          <a:effectLst/>
        </c:spPr>
        <c:dLbl>
          <c:idx val="0"/>
          <c:layout>
            <c:manualLayout>
              <c:x val="-3.4162587784635032E-2"/>
              <c:y val="0.22761529808773895"/>
            </c:manualLayout>
          </c:layout>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6500815776406328"/>
                  <c:h val="0.15195839926788812"/>
                </c:manualLayout>
              </c15:layout>
            </c:ext>
          </c:extLst>
        </c:dLbl>
      </c:pivotFmt>
    </c:pivotFmts>
    <c:plotArea>
      <c:layout/>
      <c:doughnutChart>
        <c:varyColors val="1"/>
        <c:ser>
          <c:idx val="0"/>
          <c:order val="0"/>
          <c:tx>
            <c:strRef>
              <c:f>'Deeper Pivot Analysis'!$J$3</c:f>
              <c:strCache>
                <c:ptCount val="1"/>
                <c:pt idx="0">
                  <c:v>Total</c:v>
                </c:pt>
              </c:strCache>
            </c:strRef>
          </c:tx>
          <c:dPt>
            <c:idx val="0"/>
            <c:bubble3D val="0"/>
            <c:spPr>
              <a:solidFill>
                <a:schemeClr val="accent4">
                  <a:tint val="54000"/>
                </a:schemeClr>
              </a:solidFill>
              <a:ln>
                <a:noFill/>
              </a:ln>
              <a:effectLst/>
            </c:spPr>
            <c:extLst>
              <c:ext xmlns:c16="http://schemas.microsoft.com/office/drawing/2014/chart" uri="{C3380CC4-5D6E-409C-BE32-E72D297353CC}">
                <c16:uniqueId val="{00000001-9262-479F-803C-26818E229155}"/>
              </c:ext>
            </c:extLst>
          </c:dPt>
          <c:dPt>
            <c:idx val="1"/>
            <c:bubble3D val="0"/>
            <c:spPr>
              <a:solidFill>
                <a:srgbClr val="0E2841">
                  <a:lumMod val="50000"/>
                  <a:lumOff val="50000"/>
                </a:srgbClr>
              </a:solidFill>
              <a:ln>
                <a:noFill/>
              </a:ln>
              <a:effectLst/>
            </c:spPr>
            <c:extLst>
              <c:ext xmlns:c16="http://schemas.microsoft.com/office/drawing/2014/chart" uri="{C3380CC4-5D6E-409C-BE32-E72D297353CC}">
                <c16:uniqueId val="{00000003-9262-479F-803C-26818E229155}"/>
              </c:ext>
            </c:extLst>
          </c:dPt>
          <c:dPt>
            <c:idx val="2"/>
            <c:bubble3D val="0"/>
            <c:spPr>
              <a:solidFill>
                <a:srgbClr val="0E2841">
                  <a:lumMod val="75000"/>
                  <a:lumOff val="25000"/>
                </a:srgbClr>
              </a:solidFill>
              <a:ln>
                <a:noFill/>
              </a:ln>
              <a:effectLst/>
            </c:spPr>
            <c:extLst>
              <c:ext xmlns:c16="http://schemas.microsoft.com/office/drawing/2014/chart" uri="{C3380CC4-5D6E-409C-BE32-E72D297353CC}">
                <c16:uniqueId val="{00000005-9262-479F-803C-26818E229155}"/>
              </c:ext>
            </c:extLst>
          </c:dPt>
          <c:dPt>
            <c:idx val="3"/>
            <c:bubble3D val="0"/>
            <c:spPr>
              <a:solidFill>
                <a:schemeClr val="accent4">
                  <a:shade val="65000"/>
                </a:schemeClr>
              </a:solidFill>
              <a:ln>
                <a:noFill/>
              </a:ln>
              <a:effectLst/>
            </c:spPr>
            <c:extLst>
              <c:ext xmlns:c16="http://schemas.microsoft.com/office/drawing/2014/chart" uri="{C3380CC4-5D6E-409C-BE32-E72D297353CC}">
                <c16:uniqueId val="{00000007-9262-479F-803C-26818E229155}"/>
              </c:ext>
            </c:extLst>
          </c:dPt>
          <c:dPt>
            <c:idx val="4"/>
            <c:bubble3D val="0"/>
            <c:spPr>
              <a:solidFill>
                <a:schemeClr val="accent4">
                  <a:shade val="65000"/>
                </a:schemeClr>
              </a:solidFill>
              <a:ln>
                <a:noFill/>
              </a:ln>
              <a:effectLst/>
            </c:spPr>
            <c:extLst>
              <c:ext xmlns:c16="http://schemas.microsoft.com/office/drawing/2014/chart" uri="{C3380CC4-5D6E-409C-BE32-E72D297353CC}">
                <c16:uniqueId val="{00000009-9262-479F-803C-26818E229155}"/>
              </c:ext>
            </c:extLst>
          </c:dPt>
          <c:dLbls>
            <c:dLbl>
              <c:idx val="0"/>
              <c:layout>
                <c:manualLayout>
                  <c:x val="5.7438698541060637E-2"/>
                  <c:y val="-0.1945003908409754"/>
                </c:manualLayout>
              </c:layout>
              <c:showLegendKey val="0"/>
              <c:showVal val="1"/>
              <c:showCatName val="1"/>
              <c:showSerName val="0"/>
              <c:showPercent val="0"/>
              <c:showBubbleSize val="0"/>
              <c:extLst>
                <c:ext xmlns:c15="http://schemas.microsoft.com/office/drawing/2012/chart" uri="{CE6537A1-D6FC-4f65-9D91-7224C49458BB}">
                  <c15:layout>
                    <c:manualLayout>
                      <c:w val="0.25354094251732046"/>
                      <c:h val="0.1188703742540657"/>
                    </c:manualLayout>
                  </c15:layout>
                </c:ext>
                <c:ext xmlns:c16="http://schemas.microsoft.com/office/drawing/2014/chart" uri="{C3380CC4-5D6E-409C-BE32-E72D297353CC}">
                  <c16:uniqueId val="{00000001-9262-479F-803C-26818E229155}"/>
                </c:ext>
              </c:extLst>
            </c:dLbl>
            <c:dLbl>
              <c:idx val="1"/>
              <c:layout>
                <c:manualLayout>
                  <c:x val="0.12898548154453665"/>
                  <c:y val="0.18880602848372766"/>
                </c:manualLayout>
              </c:layout>
              <c:showLegendKey val="0"/>
              <c:showVal val="1"/>
              <c:showCatName val="1"/>
              <c:showSerName val="0"/>
              <c:showPercent val="0"/>
              <c:showBubbleSize val="0"/>
              <c:extLst>
                <c:ext xmlns:c15="http://schemas.microsoft.com/office/drawing/2012/chart" uri="{CE6537A1-D6FC-4f65-9D91-7224C49458BB}">
                  <c15:layout>
                    <c:manualLayout>
                      <c:w val="0.18262489063867013"/>
                      <c:h val="0.10949074074074074"/>
                    </c:manualLayout>
                  </c15:layout>
                </c:ext>
                <c:ext xmlns:c16="http://schemas.microsoft.com/office/drawing/2014/chart" uri="{C3380CC4-5D6E-409C-BE32-E72D297353CC}">
                  <c16:uniqueId val="{00000003-9262-479F-803C-26818E229155}"/>
                </c:ext>
              </c:extLst>
            </c:dLbl>
            <c:dLbl>
              <c:idx val="2"/>
              <c:layout>
                <c:manualLayout>
                  <c:x val="-3.4162587784635032E-2"/>
                  <c:y val="0.22761529808773895"/>
                </c:manualLayout>
              </c:layout>
              <c:showLegendKey val="0"/>
              <c:showVal val="1"/>
              <c:showCatName val="1"/>
              <c:showSerName val="0"/>
              <c:showPercent val="0"/>
              <c:showBubbleSize val="0"/>
              <c:extLst>
                <c:ext xmlns:c15="http://schemas.microsoft.com/office/drawing/2012/chart" uri="{CE6537A1-D6FC-4f65-9D91-7224C49458BB}">
                  <c15:layout>
                    <c:manualLayout>
                      <c:w val="0.26500815776406328"/>
                      <c:h val="0.15195839926788812"/>
                    </c:manualLayout>
                  </c15:layout>
                </c:ext>
                <c:ext xmlns:c16="http://schemas.microsoft.com/office/drawing/2014/chart" uri="{C3380CC4-5D6E-409C-BE32-E72D297353CC}">
                  <c16:uniqueId val="{00000005-9262-479F-803C-26818E229155}"/>
                </c:ext>
              </c:extLst>
            </c:dLbl>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'Deeper Pivot Analysis'!$I$4:$I$7</c:f>
              <c:strCache>
                <c:ptCount val="3"/>
                <c:pt idx="0">
                  <c:v>High</c:v>
                </c:pt>
                <c:pt idx="1">
                  <c:v>Low</c:v>
                </c:pt>
                <c:pt idx="2">
                  <c:v>Medium</c:v>
                </c:pt>
              </c:strCache>
            </c:strRef>
          </c:cat>
          <c:val>
            <c:numRef>
              <c:f>'Deeper Pivot Analysis'!$J$4:$J$7</c:f>
              <c:numCache>
                <c:formatCode>0%</c:formatCode>
                <c:ptCount val="3"/>
                <c:pt idx="0">
                  <c:v>0.35106382978723405</c:v>
                </c:pt>
                <c:pt idx="1">
                  <c:v>2.1276595744680851E-2</c:v>
                </c:pt>
                <c:pt idx="2">
                  <c:v>0.62765957446808507</c:v>
                </c:pt>
              </c:numCache>
            </c:numRef>
          </c:val>
          <c:extLst>
            <c:ext xmlns:c16="http://schemas.microsoft.com/office/drawing/2014/chart" uri="{C3380CC4-5D6E-409C-BE32-E72D297353CC}">
              <c16:uniqueId val="{0000000A-9262-479F-803C-26818E22915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ysClr val="window" lastClr="FFFFFF">
        <a:lumMod val="95000"/>
      </a:sysClr>
    </a:solidFill>
    <a:ln w="9525" cap="flat" cmpd="sng" algn="ctr">
      <a:solidFill>
        <a:schemeClr val="tx1">
          <a:lumMod val="15000"/>
          <a:lumOff val="85000"/>
        </a:schemeClr>
      </a:solidFill>
      <a:round/>
    </a:ln>
    <a:effectLst>
      <a:glow rad="139700">
        <a:schemeClr val="accent1">
          <a:satMod val="175000"/>
          <a:alpha val="40000"/>
        </a:schemeClr>
      </a:glow>
      <a:outerShdw blurRad="50800" dist="38100" dir="5400000" algn="t"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[Quiz2 Power Query (version 2).xlsx]Deeper Pivot Analysis!PivotTable3</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 Performance Category By Loction</a:t>
            </a:r>
          </a:p>
        </c:rich>
      </c:tx>
      <c:overlay val="0"/>
      <c:spPr>
        <a:solidFill>
          <a:schemeClr val="bg2"/>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0185067526415994E-16"/>
              <c:y val="-0.30555555555555564"/>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523E-3"/>
              <c:y val="-0.20833333333333337"/>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523E-3"/>
              <c:y val="-0.12037037037037036"/>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111111111111111"/>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0925337632079971E-17"/>
              <c:y val="-7.870370370370379E-2"/>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0185067526415994E-16"/>
              <c:y val="-7.870370370370379E-2"/>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5555555555554534E-3"/>
              <c:y val="-0.17129629629629639"/>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5741E-3"/>
              <c:y val="-0.1435185185185186"/>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777777777777523E-3"/>
              <c:y val="-0.12037037037037036"/>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777777777777523E-3"/>
              <c:y val="-0.20833333333333337"/>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1111111111111111"/>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0925337632079971E-17"/>
              <c:y val="-7.870370370370379E-2"/>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0185067526415994E-16"/>
              <c:y val="-7.870370370370379E-2"/>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0185067526415994E-16"/>
              <c:y val="-0.30555555555555564"/>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5.5555555555554534E-3"/>
              <c:y val="-0.17129629629629639"/>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5741E-3"/>
              <c:y val="-0.1435185185185186"/>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0468420789868572E-3"/>
              <c:y val="-0.19197226740544826"/>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2757431388762214E-2"/>
                  <c:h val="0.1102670113651501"/>
                </c:manualLayout>
              </c15:layout>
            </c:ext>
          </c:extLst>
        </c:dLbl>
      </c:pivotFmt>
      <c:pivotFmt>
        <c:idx val="20"/>
        <c:spPr>
          <a:solidFill>
            <a:schemeClr val="accent1"/>
          </a:solidFill>
          <a:ln>
            <a:noFill/>
          </a:ln>
          <a:effectLst/>
        </c:spPr>
        <c:dLbl>
          <c:idx val="0"/>
          <c:layout>
            <c:manualLayout>
              <c:x val="1.068145663116458E-2"/>
              <c:y val="-0.29085759706016301"/>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4513794991431848E-2"/>
                  <c:h val="0.12725730587441822"/>
                </c:manualLayout>
              </c15:layout>
            </c:ext>
          </c:extLst>
        </c:dLbl>
      </c:pivotFmt>
      <c:pivotFmt>
        <c:idx val="21"/>
        <c:spPr>
          <a:solidFill>
            <a:schemeClr val="accent1"/>
          </a:solidFill>
          <a:ln>
            <a:noFill/>
          </a:ln>
          <a:effectLst/>
        </c:spPr>
        <c:dLbl>
          <c:idx val="0"/>
          <c:layout>
            <c:manualLayout>
              <c:x val="0"/>
              <c:y val="-0.1111111111111111"/>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5.0925337632079971E-17"/>
              <c:y val="-7.870370370370379E-2"/>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1.0185067526415994E-16"/>
              <c:y val="-7.870370370370379E-2"/>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1.7563636026696173E-3"/>
              <c:y val="-0.30312835469924981"/>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193561226351152"/>
                  <c:h val="9.8131086715672861E-2"/>
                </c:manualLayout>
              </c15:layout>
            </c:ext>
          </c:extLst>
        </c:dLbl>
      </c:pivotFmt>
      <c:pivotFmt>
        <c:idx val="25"/>
        <c:spPr>
          <a:solidFill>
            <a:schemeClr val="accent1"/>
          </a:solidFill>
          <a:ln>
            <a:noFill/>
          </a:ln>
          <a:effectLst/>
        </c:spPr>
        <c:dLbl>
          <c:idx val="0"/>
          <c:layout>
            <c:manualLayout>
              <c:x val="4.6774590369678577E-3"/>
              <c:y val="-0.22083292959883219"/>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4513794991431848E-2"/>
                  <c:h val="9.5703901785777423E-2"/>
                </c:manualLayout>
              </c15:layout>
            </c:ext>
          </c:extLst>
        </c:dLbl>
      </c:pivotFmt>
      <c:pivotFmt>
        <c:idx val="26"/>
        <c:spPr>
          <a:solidFill>
            <a:schemeClr val="accent1"/>
          </a:solidFill>
          <a:ln>
            <a:noFill/>
          </a:ln>
          <a:effectLst/>
        </c:spPr>
        <c:dLbl>
          <c:idx val="0"/>
          <c:layout>
            <c:manualLayout>
              <c:x val="5.4122966749824298E-3"/>
              <c:y val="-0.20298452010253815"/>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4513794991431848E-2"/>
                  <c:h val="0.12968449080431366"/>
                </c:manualLayout>
              </c15:layout>
            </c:ext>
          </c:extLst>
        </c:dLbl>
      </c:pivotFmt>
    </c:pivotFmts>
    <c:plotArea>
      <c:layout>
        <c:manualLayout>
          <c:layoutTarget val="inner"/>
          <c:xMode val="edge"/>
          <c:yMode val="edge"/>
          <c:x val="2.6415767925471609E-2"/>
          <c:y val="0.12310013055197053"/>
          <c:w val="0.94716846414905675"/>
          <c:h val="0.74065261460374099"/>
        </c:manualLayout>
      </c:layout>
      <c:barChart>
        <c:barDir val="col"/>
        <c:grouping val="stacked"/>
        <c:varyColors val="0"/>
        <c:ser>
          <c:idx val="0"/>
          <c:order val="0"/>
          <c:tx>
            <c:strRef>
              <c:f>'Deeper Pivot Analysis'!$K$12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5491-41AC-BFC6-23805D54AB4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5491-41AC-BFC6-23805D54AB4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5491-41AC-BFC6-23805D54AB49}"/>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5491-41AC-BFC6-23805D54AB49}"/>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5491-41AC-BFC6-23805D54AB49}"/>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5491-41AC-BFC6-23805D54AB49}"/>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5491-41AC-BFC6-23805D54AB49}"/>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7-5491-41AC-BFC6-23805D54AB49}"/>
              </c:ext>
            </c:extLst>
          </c:dPt>
          <c:dLbls>
            <c:dLbl>
              <c:idx val="0"/>
              <c:layout>
                <c:manualLayout>
                  <c:x val="8.0468420789868572E-3"/>
                  <c:y val="-0.19197226740544826"/>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2757431388762214E-2"/>
                      <c:h val="0.1102670113651501"/>
                    </c:manualLayout>
                  </c15:layout>
                </c:ext>
                <c:ext xmlns:c16="http://schemas.microsoft.com/office/drawing/2014/chart" uri="{C3380CC4-5D6E-409C-BE32-E72D297353CC}">
                  <c16:uniqueId val="{00000000-5491-41AC-BFC6-23805D54AB49}"/>
                </c:ext>
              </c:extLst>
            </c:dLbl>
            <c:dLbl>
              <c:idx val="1"/>
              <c:layout>
                <c:manualLayout>
                  <c:x val="1.068145663116458E-2"/>
                  <c:y val="-0.29085759706016301"/>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4513794991431848E-2"/>
                      <c:h val="0.12725730587441822"/>
                    </c:manualLayout>
                  </c15:layout>
                </c:ext>
                <c:ext xmlns:c16="http://schemas.microsoft.com/office/drawing/2014/chart" uri="{C3380CC4-5D6E-409C-BE32-E72D297353CC}">
                  <c16:uniqueId val="{00000001-5491-41AC-BFC6-23805D54AB49}"/>
                </c:ext>
              </c:extLst>
            </c:dLbl>
            <c:dLbl>
              <c:idx val="2"/>
              <c:layout>
                <c:manualLayout>
                  <c:x val="0"/>
                  <c:y val="-0.1111111111111111"/>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91-41AC-BFC6-23805D54AB49}"/>
                </c:ext>
              </c:extLst>
            </c:dLbl>
            <c:dLbl>
              <c:idx val="3"/>
              <c:layout>
                <c:manualLayout>
                  <c:x val="-5.0925337632079971E-17"/>
                  <c:y val="-7.870370370370379E-2"/>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91-41AC-BFC6-23805D54AB49}"/>
                </c:ext>
              </c:extLst>
            </c:dLbl>
            <c:dLbl>
              <c:idx val="4"/>
              <c:layout>
                <c:manualLayout>
                  <c:x val="-1.0185067526415994E-16"/>
                  <c:y val="-7.870370370370379E-2"/>
                </c:manualLayout>
              </c:layout>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91-41AC-BFC6-23805D54AB49}"/>
                </c:ext>
              </c:extLst>
            </c:dLbl>
            <c:dLbl>
              <c:idx val="5"/>
              <c:layout>
                <c:manualLayout>
                  <c:x val="1.7563636026696173E-3"/>
                  <c:y val="-0.30312835469924981"/>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193561226351152"/>
                      <c:h val="9.8131086715672861E-2"/>
                    </c:manualLayout>
                  </c15:layout>
                </c:ext>
                <c:ext xmlns:c16="http://schemas.microsoft.com/office/drawing/2014/chart" uri="{C3380CC4-5D6E-409C-BE32-E72D297353CC}">
                  <c16:uniqueId val="{00000005-5491-41AC-BFC6-23805D54AB49}"/>
                </c:ext>
              </c:extLst>
            </c:dLbl>
            <c:dLbl>
              <c:idx val="6"/>
              <c:layout>
                <c:manualLayout>
                  <c:x val="4.6774590369678577E-3"/>
                  <c:y val="-0.22083292959883219"/>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4513794991431848E-2"/>
                      <c:h val="9.5703901785777423E-2"/>
                    </c:manualLayout>
                  </c15:layout>
                </c:ext>
                <c:ext xmlns:c16="http://schemas.microsoft.com/office/drawing/2014/chart" uri="{C3380CC4-5D6E-409C-BE32-E72D297353CC}">
                  <c16:uniqueId val="{00000006-5491-41AC-BFC6-23805D54AB49}"/>
                </c:ext>
              </c:extLst>
            </c:dLbl>
            <c:dLbl>
              <c:idx val="7"/>
              <c:layout>
                <c:manualLayout>
                  <c:x val="5.4122966749824298E-3"/>
                  <c:y val="-0.20298452010253815"/>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4513794991431848E-2"/>
                      <c:h val="0.12968449080431366"/>
                    </c:manualLayout>
                  </c15:layout>
                </c:ext>
                <c:ext xmlns:c16="http://schemas.microsoft.com/office/drawing/2014/chart" uri="{C3380CC4-5D6E-409C-BE32-E72D297353CC}">
                  <c16:uniqueId val="{00000007-5491-41AC-BFC6-23805D54AB49}"/>
                </c:ext>
              </c:extLst>
            </c:dLbl>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'Deeper Pivot Analysis'!$I$13:$J$24</c:f>
              <c:multiLvlStrCache>
                <c:ptCount val="8"/>
                <c:lvl>
                  <c:pt idx="0">
                    <c:v>الاسكندرية</c:v>
                  </c:pt>
                  <c:pt idx="1">
                    <c:v>القاهرة</c:v>
                  </c:pt>
                  <c:pt idx="2">
                    <c:v>طنطا</c:v>
                  </c:pt>
                  <c:pt idx="3">
                    <c:v>الاسكندرية</c:v>
                  </c:pt>
                  <c:pt idx="4">
                    <c:v>القاهرة</c:v>
                  </c:pt>
                  <c:pt idx="5">
                    <c:v>الاسكندرية</c:v>
                  </c:pt>
                  <c:pt idx="6">
                    <c:v>القاهرة</c:v>
                  </c:pt>
                  <c:pt idx="7">
                    <c:v>طنطا</c:v>
                  </c:pt>
                </c:lvl>
                <c:lvl>
                  <c:pt idx="0">
                    <c:v>High</c:v>
                  </c:pt>
                  <c:pt idx="3">
                    <c:v>Low</c:v>
                  </c:pt>
                  <c:pt idx="5">
                    <c:v>Medium</c:v>
                  </c:pt>
                </c:lvl>
              </c:multiLvlStrCache>
            </c:multiLvlStrRef>
          </c:cat>
          <c:val>
            <c:numRef>
              <c:f>'Deeper Pivot Analysis'!$K$13:$K$24</c:f>
              <c:numCache>
                <c:formatCode>0%</c:formatCode>
                <c:ptCount val="8"/>
                <c:pt idx="0">
                  <c:v>9.5744680851063829E-2</c:v>
                </c:pt>
                <c:pt idx="1">
                  <c:v>0.19148936170212766</c:v>
                </c:pt>
                <c:pt idx="2">
                  <c:v>6.3829787234042548E-2</c:v>
                </c:pt>
                <c:pt idx="3">
                  <c:v>1.0638297872340425E-2</c:v>
                </c:pt>
                <c:pt idx="4">
                  <c:v>1.0638297872340425E-2</c:v>
                </c:pt>
                <c:pt idx="5">
                  <c:v>0.35106382978723405</c:v>
                </c:pt>
                <c:pt idx="6">
                  <c:v>0.1702127659574468</c:v>
                </c:pt>
                <c:pt idx="7">
                  <c:v>0.10638297872340426</c:v>
                </c:pt>
              </c:numCache>
            </c:numRef>
          </c:val>
          <c:extLst>
            <c:ext xmlns:c16="http://schemas.microsoft.com/office/drawing/2014/chart" uri="{C3380CC4-5D6E-409C-BE32-E72D297353CC}">
              <c16:uniqueId val="{00000008-5491-41AC-BFC6-23805D54AB49}"/>
            </c:ext>
          </c:extLst>
        </c:ser>
        <c:dLbls>
          <c:dLblPos val="ctr"/>
          <c:showLegendKey val="0"/>
          <c:showVal val="1"/>
          <c:showCatName val="0"/>
          <c:showSerName val="0"/>
          <c:showPercent val="0"/>
          <c:showBubbleSize val="0"/>
        </c:dLbls>
        <c:gapWidth val="150"/>
        <c:overlap val="100"/>
        <c:axId val="1572016448"/>
        <c:axId val="1572016928"/>
      </c:barChart>
      <c:catAx>
        <c:axId val="1572016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72016928"/>
        <c:crosses val="autoZero"/>
        <c:auto val="1"/>
        <c:lblAlgn val="ctr"/>
        <c:lblOffset val="100"/>
        <c:noMultiLvlLbl val="0"/>
      </c:catAx>
      <c:valAx>
        <c:axId val="1572016928"/>
        <c:scaling>
          <c:orientation val="minMax"/>
        </c:scaling>
        <c:delete val="1"/>
        <c:axPos val="l"/>
        <c:numFmt formatCode="0%" sourceLinked="1"/>
        <c:majorTickMark val="none"/>
        <c:minorTickMark val="none"/>
        <c:tickLblPos val="nextTo"/>
        <c:crossAx val="1572016448"/>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a:glow rad="101600">
        <a:schemeClr val="accent1">
          <a:satMod val="175000"/>
          <a:alpha val="40000"/>
        </a:schemeClr>
      </a:glow>
      <a:outerShdw blurRad="63500" sx="102000" sy="102000" algn="ctr"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[Quiz2 Power Query (version 2).xlsx]Deeper Pivot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Salary Range Distribution By Employees</a:t>
            </a: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3"/>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4"/>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5"/>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6"/>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1">
                  <a:lumMod val="40000"/>
                  <a:lumOff val="60000"/>
                </a:schemeClr>
              </a:solidFill>
            </a:ln>
            <a:effectLst/>
          </c:spPr>
        </c:marker>
      </c:pivotFmt>
      <c:pivotFmt>
        <c:idx val="1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13"/>
        <c:marker>
          <c:symbol val="square"/>
          <c:size val="8"/>
          <c:spPr>
            <a:solidFill>
              <a:schemeClr val="tx2">
                <a:lumMod val="25000"/>
                <a:lumOff val="75000"/>
              </a:schemeClr>
            </a:solidFill>
            <a:ln w="9525">
              <a:solidFill>
                <a:schemeClr val="accent1">
                  <a:lumMod val="40000"/>
                  <a:lumOff val="60000"/>
                </a:schemeClr>
              </a:solidFill>
            </a:ln>
            <a:effectLst/>
          </c:spPr>
        </c:marker>
      </c:pivotFmt>
      <c:pivotFmt>
        <c:idx val="14"/>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solidFill>
              <a:sysClr val="window" lastClr="FFFFFF">
                <a:lumMod val="85000"/>
              </a:sys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'Deeper Pivot Analysis'!$E$3</c:f>
              <c:strCache>
                <c:ptCount val="1"/>
                <c:pt idx="0">
                  <c:v>Total</c:v>
                </c:pt>
              </c:strCache>
            </c:strRef>
          </c:tx>
          <c:spPr>
            <a:solidFill>
              <a:schemeClr val="accent1"/>
            </a:solidFill>
            <a:ln>
              <a:noFill/>
            </a:ln>
            <a:effectLst/>
          </c:spPr>
          <c:invertIfNegative val="0"/>
          <c:dLbls>
            <c:spPr>
              <a:solidFill>
                <a:sysClr val="window" lastClr="FFFFFF">
                  <a:lumMod val="85000"/>
                </a:sys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'Deeper Pivot Analysis'!$D$4:$D$8</c:f>
              <c:strCache>
                <c:ptCount val="4"/>
                <c:pt idx="0">
                  <c:v>&lt;5K</c:v>
                </c:pt>
                <c:pt idx="1">
                  <c:v>5K-10K</c:v>
                </c:pt>
                <c:pt idx="2">
                  <c:v>10K-20K</c:v>
                </c:pt>
                <c:pt idx="3">
                  <c:v>&gt;20K</c:v>
                </c:pt>
              </c:strCache>
            </c:strRef>
          </c:cat>
          <c:val>
            <c:numRef>
              <c:f>'Deeper Pivot Analysis'!$E$4:$E$8</c:f>
              <c:numCache>
                <c:formatCode>General</c:formatCode>
                <c:ptCount val="4"/>
                <c:pt idx="0">
                  <c:v>17</c:v>
                </c:pt>
                <c:pt idx="1">
                  <c:v>20</c:v>
                </c:pt>
                <c:pt idx="2">
                  <c:v>35</c:v>
                </c:pt>
                <c:pt idx="3">
                  <c:v>22</c:v>
                </c:pt>
              </c:numCache>
            </c:numRef>
          </c:val>
          <c:extLst>
            <c:ext xmlns:c16="http://schemas.microsoft.com/office/drawing/2014/chart" uri="{C3380CC4-5D6E-409C-BE32-E72D297353CC}">
              <c16:uniqueId val="{00000000-2EAB-4ACD-942D-35656045EC65}"/>
            </c:ext>
          </c:extLst>
        </c:ser>
        <c:dLbls>
          <c:showLegendKey val="0"/>
          <c:showVal val="0"/>
          <c:showCatName val="0"/>
          <c:showSerName val="0"/>
          <c:showPercent val="0"/>
          <c:showBubbleSize val="0"/>
        </c:dLbls>
        <c:gapWidth val="181"/>
        <c:overlap val="-27"/>
        <c:axId val="1588864655"/>
        <c:axId val="1588863215"/>
      </c:barChart>
      <c:catAx>
        <c:axId val="158886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88863215"/>
        <c:crosses val="autoZero"/>
        <c:auto val="1"/>
        <c:lblAlgn val="ctr"/>
        <c:lblOffset val="100"/>
        <c:noMultiLvlLbl val="0"/>
      </c:catAx>
      <c:valAx>
        <c:axId val="1588863215"/>
        <c:scaling>
          <c:orientation val="minMax"/>
        </c:scaling>
        <c:delete val="1"/>
        <c:axPos val="l"/>
        <c:numFmt formatCode="General" sourceLinked="1"/>
        <c:majorTickMark val="out"/>
        <c:minorTickMark val="none"/>
        <c:tickLblPos val="nextTo"/>
        <c:crossAx val="1588864655"/>
        <c:crosses val="autoZero"/>
        <c:crossBetween val="between"/>
      </c:valAx>
      <c:spPr>
        <a:noFill/>
        <a:ln>
          <a:noFill/>
        </a:ln>
        <a:effectLst/>
      </c:spPr>
    </c:plotArea>
    <c:plotVisOnly val="1"/>
    <c:dispBlanksAs val="gap"/>
    <c:showDLblsOverMax val="0"/>
    <c:extLst/>
  </c:chart>
  <c:spPr>
    <a:solidFill>
      <a:srgbClr val="E8E8E8"/>
    </a:solidFill>
    <a:ln w="9525" cap="flat" cmpd="sng" algn="ctr">
      <a:solidFill>
        <a:schemeClr val="tx1">
          <a:lumMod val="15000"/>
          <a:lumOff val="85000"/>
        </a:schemeClr>
      </a:solidFill>
      <a:round/>
    </a:ln>
    <a:effectLst>
      <a:glow rad="139700">
        <a:schemeClr val="accent1">
          <a:satMod val="175000"/>
          <a:alpha val="40000"/>
        </a:schemeClr>
      </a:glow>
      <a:outerShdw blurRad="50800" dist="38100" dir="5400000" algn="t"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[Quiz2 Power Query (version 2).xlsx]Deeper Pivot Analysis!PivotTable5</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Experience Category Distribution</a:t>
            </a:r>
          </a:p>
        </c:rich>
      </c:tx>
      <c:overlay val="0"/>
      <c:spPr>
        <a:solidFill>
          <a:schemeClr val="bg1">
            <a:lumMod val="95000"/>
          </a:schemeClr>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'Deeper Pivot Analysis'!$E$12</c:f>
              <c:strCache>
                <c:ptCount val="1"/>
                <c:pt idx="0">
                  <c:v>Total</c:v>
                </c:pt>
              </c:strCache>
            </c:strRef>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'Deeper Pivot Analysis'!$D$13:$D$16</c:f>
              <c:strCache>
                <c:ptCount val="3"/>
                <c:pt idx="0">
                  <c:v>Junior</c:v>
                </c:pt>
                <c:pt idx="1">
                  <c:v>Mid-level</c:v>
                </c:pt>
                <c:pt idx="2">
                  <c:v>Senior</c:v>
                </c:pt>
              </c:strCache>
            </c:strRef>
          </c:cat>
          <c:val>
            <c:numRef>
              <c:f>'Deeper Pivot Analysis'!$E$13:$E$16</c:f>
              <c:numCache>
                <c:formatCode>0%</c:formatCode>
                <c:ptCount val="3"/>
                <c:pt idx="0">
                  <c:v>0.1276595744680851</c:v>
                </c:pt>
                <c:pt idx="1">
                  <c:v>0.43617021276595747</c:v>
                </c:pt>
                <c:pt idx="2">
                  <c:v>0.43617021276595747</c:v>
                </c:pt>
              </c:numCache>
            </c:numRef>
          </c:val>
          <c:extLst>
            <c:ext xmlns:c16="http://schemas.microsoft.com/office/drawing/2014/chart" uri="{C3380CC4-5D6E-409C-BE32-E72D297353CC}">
              <c16:uniqueId val="{00000000-0A99-48B1-8AD3-05C0993535D9}"/>
            </c:ext>
          </c:extLst>
        </c:ser>
        <c:dLbls>
          <c:dLblPos val="outEnd"/>
          <c:showLegendKey val="0"/>
          <c:showVal val="1"/>
          <c:showCatName val="0"/>
          <c:showSerName val="0"/>
          <c:showPercent val="0"/>
          <c:showBubbleSize val="0"/>
        </c:dLbls>
        <c:gapWidth val="182"/>
        <c:axId val="1572066848"/>
        <c:axId val="1572068288"/>
      </c:barChart>
      <c:catAx>
        <c:axId val="1572066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572068288"/>
        <c:crosses val="autoZero"/>
        <c:auto val="1"/>
        <c:lblAlgn val="ctr"/>
        <c:lblOffset val="100"/>
        <c:noMultiLvlLbl val="0"/>
      </c:catAx>
      <c:valAx>
        <c:axId val="1572068288"/>
        <c:scaling>
          <c:orientation val="minMax"/>
        </c:scaling>
        <c:delete val="1"/>
        <c:axPos val="b"/>
        <c:numFmt formatCode="0%" sourceLinked="1"/>
        <c:majorTickMark val="none"/>
        <c:minorTickMark val="none"/>
        <c:tickLblPos val="nextTo"/>
        <c:crossAx val="157206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a:glow rad="101600">
        <a:schemeClr val="accent1">
          <a:satMod val="175000"/>
          <a:alpha val="40000"/>
        </a:schemeClr>
      </a:glow>
      <a:outerShdw blurRad="50800" dist="38100" dir="5400000" algn="t"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[Quiz2 Power Query (version 2).xlsx]Pivot Tables Analysis!PivotTable10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Salary Statistics per Location</a:t>
            </a:r>
            <a:endParaRPr lang="en-US" sz="1600" b="1" i="0">
              <a:solidFill>
                <a:schemeClr val="tx1"/>
              </a:solidFill>
            </a:endParaRP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3"/>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4"/>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5"/>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6"/>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1">
                  <a:lumMod val="40000"/>
                  <a:lumOff val="60000"/>
                </a:schemeClr>
              </a:solidFill>
            </a:ln>
            <a:effectLst/>
          </c:spPr>
        </c:marker>
      </c:pivotFmt>
      <c:pivotFmt>
        <c:idx val="1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marker>
          <c:symbol val="square"/>
          <c:size val="8"/>
          <c:spPr>
            <a:solidFill>
              <a:schemeClr val="tx2">
                <a:lumMod val="25000"/>
                <a:lumOff val="75000"/>
              </a:schemeClr>
            </a:solidFill>
            <a:ln w="9525">
              <a:solidFill>
                <a:schemeClr val="accent1">
                  <a:lumMod val="40000"/>
                  <a:lumOff val="60000"/>
                </a:schemeClr>
              </a:solidFill>
            </a:ln>
            <a:effectLst/>
          </c:spPr>
        </c:marker>
      </c:pivotFmt>
    </c:pivotFmts>
    <c:plotArea>
      <c:layout/>
      <c:barChart>
        <c:barDir val="col"/>
        <c:grouping val="clustered"/>
        <c:varyColors val="0"/>
        <c:ser>
          <c:idx val="0"/>
          <c:order val="0"/>
          <c:tx>
            <c:strRef>
              <c:f>'Pivot Tables Analysis'!$B$28</c:f>
              <c:strCache>
                <c:ptCount val="1"/>
                <c:pt idx="0">
                  <c:v>Max Salary</c:v>
                </c:pt>
              </c:strCache>
            </c:strRef>
          </c:tx>
          <c:spPr>
            <a:solidFill>
              <a:schemeClr val="accent1"/>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Analysis'!$A$29:$A$32</c:f>
              <c:strCache>
                <c:ptCount val="3"/>
                <c:pt idx="0">
                  <c:v>الاسكندرية</c:v>
                </c:pt>
                <c:pt idx="1">
                  <c:v>القاهرة</c:v>
                </c:pt>
                <c:pt idx="2">
                  <c:v>طنطا</c:v>
                </c:pt>
              </c:strCache>
            </c:strRef>
          </c:cat>
          <c:val>
            <c:numRef>
              <c:f>'Pivot Tables Analysis'!$B$29:$B$32</c:f>
              <c:numCache>
                <c:formatCode>_("$"* #,##0_);_("$"* \(#,##0\);_("$"* "-"??_);_(@_)</c:formatCode>
                <c:ptCount val="3"/>
                <c:pt idx="0">
                  <c:v>24472</c:v>
                </c:pt>
                <c:pt idx="1">
                  <c:v>35000</c:v>
                </c:pt>
                <c:pt idx="2">
                  <c:v>25000</c:v>
                </c:pt>
              </c:numCache>
            </c:numRef>
          </c:val>
          <c:extLst>
            <c:ext xmlns:c16="http://schemas.microsoft.com/office/drawing/2014/chart" uri="{C3380CC4-5D6E-409C-BE32-E72D297353CC}">
              <c16:uniqueId val="{00000000-ED7E-4E72-BCE7-CA67C546EA0A}"/>
            </c:ext>
          </c:extLst>
        </c:ser>
        <c:ser>
          <c:idx val="1"/>
          <c:order val="1"/>
          <c:tx>
            <c:strRef>
              <c:f>'Pivot Tables Analysis'!$C$28</c:f>
              <c:strCache>
                <c:ptCount val="1"/>
                <c:pt idx="0">
                  <c:v>Min Salary</c:v>
                </c:pt>
              </c:strCache>
            </c:strRef>
          </c:tx>
          <c:spPr>
            <a:solidFill>
              <a:schemeClr val="tx2">
                <a:lumMod val="50000"/>
                <a:lumOff val="5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Analysis'!$A$29:$A$32</c:f>
              <c:strCache>
                <c:ptCount val="3"/>
                <c:pt idx="0">
                  <c:v>الاسكندرية</c:v>
                </c:pt>
                <c:pt idx="1">
                  <c:v>القاهرة</c:v>
                </c:pt>
                <c:pt idx="2">
                  <c:v>طنطا</c:v>
                </c:pt>
              </c:strCache>
            </c:strRef>
          </c:cat>
          <c:val>
            <c:numRef>
              <c:f>'Pivot Tables Analysis'!$C$29:$C$32</c:f>
              <c:numCache>
                <c:formatCode>_("$"* #,##0_);_("$"* \(#,##0\);_("$"* "-"??_);_(@_)</c:formatCode>
                <c:ptCount val="3"/>
                <c:pt idx="0">
                  <c:v>1428</c:v>
                </c:pt>
                <c:pt idx="1">
                  <c:v>1673</c:v>
                </c:pt>
                <c:pt idx="2">
                  <c:v>1952</c:v>
                </c:pt>
              </c:numCache>
            </c:numRef>
          </c:val>
          <c:extLst>
            <c:ext xmlns:c16="http://schemas.microsoft.com/office/drawing/2014/chart" uri="{C3380CC4-5D6E-409C-BE32-E72D297353CC}">
              <c16:uniqueId val="{00000001-ED7E-4E72-BCE7-CA67C546EA0A}"/>
            </c:ext>
          </c:extLst>
        </c:ser>
        <c:dLbls>
          <c:showLegendKey val="0"/>
          <c:showVal val="0"/>
          <c:showCatName val="0"/>
          <c:showSerName val="0"/>
          <c:showPercent val="0"/>
          <c:showBubbleSize val="0"/>
        </c:dLbls>
        <c:gapWidth val="181"/>
        <c:overlap val="-27"/>
        <c:axId val="1588864655"/>
        <c:axId val="1588863215"/>
      </c:barChart>
      <c:lineChart>
        <c:grouping val="standard"/>
        <c:varyColors val="0"/>
        <c:ser>
          <c:idx val="2"/>
          <c:order val="2"/>
          <c:tx>
            <c:strRef>
              <c:f>'Pivot Tables Analysis'!$D$28</c:f>
              <c:strCache>
                <c:ptCount val="1"/>
                <c:pt idx="0">
                  <c:v>Avg Salary</c:v>
                </c:pt>
              </c:strCache>
            </c:strRef>
          </c:tx>
          <c:spPr>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dPt>
            <c:idx val="3"/>
            <c:marker>
              <c:symbol val="square"/>
              <c:size val="8"/>
              <c:spPr>
                <a:solidFill>
                  <a:schemeClr val="tx2">
                    <a:lumMod val="25000"/>
                    <a:lumOff val="75000"/>
                  </a:schemeClr>
                </a:solidFill>
                <a:ln w="9525">
                  <a:solidFill>
                    <a:schemeClr val="accent3"/>
                  </a:solidFill>
                </a:ln>
                <a:effectLst/>
              </c:spPr>
            </c:marker>
            <c:bubble3D val="0"/>
            <c:extLst>
              <c:ext xmlns:c16="http://schemas.microsoft.com/office/drawing/2014/chart" uri="{C3380CC4-5D6E-409C-BE32-E72D297353CC}">
                <c16:uniqueId val="{00000002-ED7E-4E72-BCE7-CA67C546EA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Analysis'!$A$29:$A$32</c:f>
              <c:strCache>
                <c:ptCount val="3"/>
                <c:pt idx="0">
                  <c:v>الاسكندرية</c:v>
                </c:pt>
                <c:pt idx="1">
                  <c:v>القاهرة</c:v>
                </c:pt>
                <c:pt idx="2">
                  <c:v>طنطا</c:v>
                </c:pt>
              </c:strCache>
            </c:strRef>
          </c:cat>
          <c:val>
            <c:numRef>
              <c:f>'Pivot Tables Analysis'!$D$29:$D$32</c:f>
              <c:numCache>
                <c:formatCode>_("$"* #,##0_);_("$"* \(#,##0\);_("$"* "-"??_);_(@_)</c:formatCode>
                <c:ptCount val="3"/>
                <c:pt idx="0">
                  <c:v>13463.720930232557</c:v>
                </c:pt>
                <c:pt idx="1">
                  <c:v>13716.057142857142</c:v>
                </c:pt>
                <c:pt idx="2">
                  <c:v>11848.5</c:v>
                </c:pt>
              </c:numCache>
            </c:numRef>
          </c:val>
          <c:smooth val="0"/>
          <c:extLst>
            <c:ext xmlns:c16="http://schemas.microsoft.com/office/drawing/2014/chart" uri="{C3380CC4-5D6E-409C-BE32-E72D297353CC}">
              <c16:uniqueId val="{00000003-ED7E-4E72-BCE7-CA67C546EA0A}"/>
            </c:ext>
          </c:extLst>
        </c:ser>
        <c:dLbls>
          <c:showLegendKey val="0"/>
          <c:showVal val="1"/>
          <c:showCatName val="0"/>
          <c:showSerName val="0"/>
          <c:showPercent val="0"/>
          <c:showBubbleSize val="0"/>
        </c:dLbls>
        <c:marker val="1"/>
        <c:smooth val="0"/>
        <c:axId val="1588864655"/>
        <c:axId val="1588863215"/>
      </c:lineChart>
      <c:catAx>
        <c:axId val="158886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88863215"/>
        <c:crosses val="autoZero"/>
        <c:auto val="1"/>
        <c:lblAlgn val="ctr"/>
        <c:lblOffset val="100"/>
        <c:noMultiLvlLbl val="0"/>
      </c:catAx>
      <c:valAx>
        <c:axId val="15888632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solidFill>
            <a:schemeClr val="bg1">
              <a:lumMod val="95000"/>
            </a:schemeClr>
          </a:solid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888646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1">
          <a:satMod val="175000"/>
          <a:alpha val="40000"/>
        </a:schemeClr>
      </a:glow>
      <a:outerShdw blurRad="50800" dist="38100" dir="5400000" algn="t"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[Quiz2 Power Query (version 2).xlsx]Pivot Tables Analysis!PivotTable17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Distribution Of Employees By Department</a:t>
            </a: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pPr>
            <a:solidFill>
              <a:schemeClr val="accent4"/>
            </a:solidFill>
            <a:ln w="9525">
              <a:solidFill>
                <a:schemeClr val="accent4"/>
              </a:solidFill>
            </a:ln>
            <a:effectLst/>
          </c:spPr>
        </c:marker>
      </c:pivotFmt>
      <c:pivotFmt>
        <c:idx val="3"/>
        <c:spPr>
          <a:solidFill>
            <a:schemeClr val="accent4"/>
          </a:solidFill>
          <a:ln>
            <a:noFill/>
          </a:ln>
          <a:effectLst/>
        </c:spPr>
        <c:marker>
          <c:spPr>
            <a:solidFill>
              <a:schemeClr val="accent4"/>
            </a:solidFill>
            <a:ln w="9525">
              <a:solidFill>
                <a:schemeClr val="accent4"/>
              </a:solidFill>
            </a:ln>
            <a:effectLst/>
          </c:spPr>
        </c:marker>
      </c:pivotFmt>
      <c:pivotFmt>
        <c:idx val="4"/>
        <c:spPr>
          <a:solidFill>
            <a:schemeClr val="accent4"/>
          </a:solidFill>
          <a:ln>
            <a:noFill/>
          </a:ln>
          <a:effectLst/>
        </c:spPr>
        <c:marker>
          <c:spPr>
            <a:solidFill>
              <a:schemeClr val="accent4"/>
            </a:solidFill>
            <a:ln w="9525">
              <a:solidFill>
                <a:schemeClr val="accent4"/>
              </a:solidFill>
            </a:ln>
            <a:effectLst/>
          </c:spPr>
        </c:marker>
      </c:pivotFmt>
      <c:pivotFmt>
        <c:idx val="5"/>
        <c:spPr>
          <a:solidFill>
            <a:schemeClr val="accent4"/>
          </a:solidFill>
          <a:ln>
            <a:noFill/>
          </a:ln>
          <a:effectLst/>
        </c:spPr>
        <c:marker>
          <c:spPr>
            <a:solidFill>
              <a:schemeClr val="accent4"/>
            </a:solidFill>
            <a:ln w="9525">
              <a:solidFill>
                <a:schemeClr val="accent4"/>
              </a:solidFill>
            </a:ln>
            <a:effectLst/>
          </c:spPr>
        </c:marker>
      </c:pivotFmt>
      <c:pivotFmt>
        <c:idx val="6"/>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solidFill>
          <a:ln>
            <a:noFill/>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4"/>
          </a:solidFill>
          <a:ln>
            <a:noFill/>
          </a:ln>
          <a:effectLst/>
        </c:spPr>
        <c:marker>
          <c:spPr>
            <a:solidFill>
              <a:schemeClr val="accent4"/>
            </a:solidFill>
            <a:ln w="9525">
              <a:solidFill>
                <a:schemeClr val="accent4"/>
              </a:solidFill>
            </a:ln>
            <a:effectLst/>
          </c:spPr>
        </c:marker>
      </c:pivotFmt>
      <c:pivotFmt>
        <c:idx val="10"/>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4"/>
          </a:solidFill>
          <a:ln>
            <a:noFill/>
          </a:ln>
          <a:effectLst/>
        </c:spPr>
        <c:marker>
          <c:spPr>
            <a:solidFill>
              <a:schemeClr val="accent4"/>
            </a:solidFill>
            <a:ln w="9525">
              <a:solidFill>
                <a:schemeClr val="accent4"/>
              </a:solidFill>
            </a:ln>
            <a:effectLst/>
          </c:spPr>
        </c:marker>
      </c:pivotFmt>
      <c:pivotFmt>
        <c:idx val="13"/>
        <c:marker>
          <c:spPr>
            <a:solidFill>
              <a:schemeClr val="accent4"/>
            </a:solidFill>
            <a:ln w="9525">
              <a:solidFill>
                <a:schemeClr val="accent4"/>
              </a:solidFill>
            </a:ln>
            <a:effectLst/>
          </c:spPr>
        </c:marker>
      </c:pivotFmt>
      <c:pivotFmt>
        <c:idx val="14"/>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4">
              <a:shade val="53000"/>
            </a:schemeClr>
          </a:solidFill>
          <a:ln>
            <a:noFill/>
          </a:ln>
          <a:effectLst/>
        </c:spPr>
        <c:dLbl>
          <c:idx val="0"/>
          <c:layout>
            <c:manualLayout>
              <c:x val="-0.16111111111111109"/>
              <c:y val="-7.870370370370370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4">
              <a:tint val="54000"/>
            </a:schemeClr>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17"/>
        <c:spPr>
          <a:solidFill>
            <a:schemeClr val="accent4">
              <a:tint val="77000"/>
            </a:schemeClr>
          </a:solidFill>
          <a:ln>
            <a:noFill/>
          </a:ln>
          <a:effectLst/>
        </c:spPr>
        <c:dLbl>
          <c:idx val="0"/>
          <c:layout>
            <c:manualLayout>
              <c:x val="0.12777777777777788"/>
              <c:y val="-4.62962962962963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0.14791666666666667"/>
              <c:y val="8.660777158952681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4">
              <a:shade val="76000"/>
            </a:schemeClr>
          </a:solidFill>
          <a:ln>
            <a:noFill/>
          </a:ln>
          <a:effectLst/>
        </c:spPr>
        <c:dLbl>
          <c:idx val="0"/>
          <c:layout>
            <c:manualLayout>
              <c:x val="-0.25833322397200348"/>
              <c:y val="8.333333333333332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4444444444444"/>
                  <c:h val="0.13824074074074075"/>
                </c:manualLayout>
              </c15:layout>
            </c:ext>
          </c:extLst>
        </c:dLbl>
      </c:pivotFmt>
      <c:pivotFmt>
        <c:idx val="20"/>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4">
              <a:tint val="54000"/>
            </a:schemeClr>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22"/>
        <c:spPr>
          <a:solidFill>
            <a:schemeClr val="accent4">
              <a:tint val="77000"/>
            </a:schemeClr>
          </a:solidFill>
          <a:ln>
            <a:noFill/>
          </a:ln>
          <a:effectLst/>
        </c:spPr>
        <c:dLbl>
          <c:idx val="0"/>
          <c:layout>
            <c:manualLayout>
              <c:x val="0.12777777777777788"/>
              <c:y val="-4.62962962962963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dLbl>
          <c:idx val="0"/>
          <c:layout>
            <c:manualLayout>
              <c:x val="0.14791666666666667"/>
              <c:y val="8.660777158952681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4">
              <a:shade val="76000"/>
            </a:schemeClr>
          </a:solidFill>
          <a:ln>
            <a:noFill/>
          </a:ln>
          <a:effectLst/>
        </c:spPr>
        <c:dLbl>
          <c:idx val="0"/>
          <c:layout>
            <c:manualLayout>
              <c:x val="-0.25833322397200348"/>
              <c:y val="8.333333333333332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4444444444444"/>
                  <c:h val="0.13824074074074075"/>
                </c:manualLayout>
              </c15:layout>
            </c:ext>
          </c:extLst>
        </c:dLbl>
      </c:pivotFmt>
      <c:pivotFmt>
        <c:idx val="25"/>
        <c:spPr>
          <a:solidFill>
            <a:schemeClr val="accent4">
              <a:shade val="53000"/>
            </a:schemeClr>
          </a:solidFill>
          <a:ln>
            <a:noFill/>
          </a:ln>
          <a:effectLst/>
        </c:spPr>
        <c:dLbl>
          <c:idx val="0"/>
          <c:layout>
            <c:manualLayout>
              <c:x val="-0.16111111111111109"/>
              <c:y val="-7.870370370370370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4">
              <a:tint val="54000"/>
            </a:schemeClr>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28"/>
        <c:spPr>
          <a:solidFill>
            <a:schemeClr val="accent4">
              <a:tint val="77000"/>
            </a:schemeClr>
          </a:solidFill>
          <a:ln>
            <a:noFill/>
          </a:ln>
          <a:effectLst/>
        </c:spPr>
        <c:dLbl>
          <c:idx val="0"/>
          <c:layout>
            <c:manualLayout>
              <c:x val="0.12777777777777788"/>
              <c:y val="-4.62962962962963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dLbl>
          <c:idx val="0"/>
          <c:layout>
            <c:manualLayout>
              <c:x val="0.14791666666666667"/>
              <c:y val="8.660777158952681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4">
              <a:shade val="76000"/>
            </a:schemeClr>
          </a:solidFill>
          <a:ln>
            <a:noFill/>
          </a:ln>
          <a:effectLst/>
        </c:spPr>
        <c:dLbl>
          <c:idx val="0"/>
          <c:layout>
            <c:manualLayout>
              <c:x val="-0.25833322397200348"/>
              <c:y val="8.333333333333332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4444444444444"/>
                  <c:h val="0.13824074074074075"/>
                </c:manualLayout>
              </c15:layout>
            </c:ext>
          </c:extLst>
        </c:dLbl>
      </c:pivotFmt>
      <c:pivotFmt>
        <c:idx val="31"/>
        <c:spPr>
          <a:solidFill>
            <a:schemeClr val="accent4">
              <a:shade val="53000"/>
            </a:schemeClr>
          </a:solidFill>
          <a:ln>
            <a:noFill/>
          </a:ln>
          <a:effectLst/>
        </c:spPr>
        <c:dLbl>
          <c:idx val="0"/>
          <c:layout>
            <c:manualLayout>
              <c:x val="-0.16111111111111109"/>
              <c:y val="-7.870370370370370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 Analysis'!$B$39</c:f>
              <c:strCache>
                <c:ptCount val="1"/>
                <c:pt idx="0">
                  <c:v>Total</c:v>
                </c:pt>
              </c:strCache>
            </c:strRef>
          </c:tx>
          <c:dPt>
            <c:idx val="0"/>
            <c:bubble3D val="0"/>
            <c:spPr>
              <a:solidFill>
                <a:schemeClr val="accent4">
                  <a:tint val="54000"/>
                </a:schemeClr>
              </a:solidFill>
              <a:ln>
                <a:noFill/>
              </a:ln>
              <a:effectLst/>
            </c:spPr>
            <c:extLst>
              <c:ext xmlns:c16="http://schemas.microsoft.com/office/drawing/2014/chart" uri="{C3380CC4-5D6E-409C-BE32-E72D297353CC}">
                <c16:uniqueId val="{00000001-A24A-43EE-AB74-CB78D9A443E3}"/>
              </c:ext>
            </c:extLst>
          </c:dPt>
          <c:dPt>
            <c:idx val="1"/>
            <c:bubble3D val="0"/>
            <c:spPr>
              <a:solidFill>
                <a:schemeClr val="accent4">
                  <a:tint val="77000"/>
                </a:schemeClr>
              </a:solidFill>
              <a:ln>
                <a:noFill/>
              </a:ln>
              <a:effectLst/>
            </c:spPr>
            <c:extLst>
              <c:ext xmlns:c16="http://schemas.microsoft.com/office/drawing/2014/chart" uri="{C3380CC4-5D6E-409C-BE32-E72D297353CC}">
                <c16:uniqueId val="{00000003-A24A-43EE-AB74-CB78D9A443E3}"/>
              </c:ext>
            </c:extLst>
          </c:dPt>
          <c:dPt>
            <c:idx val="2"/>
            <c:bubble3D val="0"/>
            <c:spPr>
              <a:solidFill>
                <a:schemeClr val="accent4"/>
              </a:solidFill>
              <a:ln>
                <a:noFill/>
              </a:ln>
              <a:effectLst/>
            </c:spPr>
            <c:extLst>
              <c:ext xmlns:c16="http://schemas.microsoft.com/office/drawing/2014/chart" uri="{C3380CC4-5D6E-409C-BE32-E72D297353CC}">
                <c16:uniqueId val="{00000005-A24A-43EE-AB74-CB78D9A443E3}"/>
              </c:ext>
            </c:extLst>
          </c:dPt>
          <c:dPt>
            <c:idx val="3"/>
            <c:bubble3D val="0"/>
            <c:spPr>
              <a:solidFill>
                <a:schemeClr val="accent4">
                  <a:shade val="76000"/>
                </a:schemeClr>
              </a:solidFill>
              <a:ln>
                <a:noFill/>
              </a:ln>
              <a:effectLst/>
            </c:spPr>
            <c:extLst>
              <c:ext xmlns:c16="http://schemas.microsoft.com/office/drawing/2014/chart" uri="{C3380CC4-5D6E-409C-BE32-E72D297353CC}">
                <c16:uniqueId val="{00000007-A24A-43EE-AB74-CB78D9A443E3}"/>
              </c:ext>
            </c:extLst>
          </c:dPt>
          <c:dPt>
            <c:idx val="4"/>
            <c:bubble3D val="0"/>
            <c:spPr>
              <a:solidFill>
                <a:schemeClr val="accent4">
                  <a:shade val="53000"/>
                </a:schemeClr>
              </a:solidFill>
              <a:ln>
                <a:noFill/>
              </a:ln>
              <a:effectLst/>
            </c:spPr>
            <c:extLst>
              <c:ext xmlns:c16="http://schemas.microsoft.com/office/drawing/2014/chart" uri="{C3380CC4-5D6E-409C-BE32-E72D297353CC}">
                <c16:uniqueId val="{00000009-A24A-43EE-AB74-CB78D9A443E3}"/>
              </c:ext>
            </c:extLst>
          </c:dPt>
          <c:dLbls>
            <c:dLbl>
              <c:idx val="0"/>
              <c:layout>
                <c:manualLayout>
                  <c:x val="0.21910866910866911"/>
                  <c:y val="-8.7962962962962965E-2"/>
                </c:manualLayout>
              </c:layout>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 xmlns:c16="http://schemas.microsoft.com/office/drawing/2014/chart" uri="{C3380CC4-5D6E-409C-BE32-E72D297353CC}">
                  <c16:uniqueId val="{00000001-A24A-43EE-AB74-CB78D9A443E3}"/>
                </c:ext>
              </c:extLst>
            </c:dLbl>
            <c:dLbl>
              <c:idx val="1"/>
              <c:layout>
                <c:manualLayout>
                  <c:x val="0.12777777777777788"/>
                  <c:y val="-4.62962962962963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4A-43EE-AB74-CB78D9A443E3}"/>
                </c:ext>
              </c:extLst>
            </c:dLbl>
            <c:dLbl>
              <c:idx val="2"/>
              <c:layout>
                <c:manualLayout>
                  <c:x val="0.14791666666666667"/>
                  <c:y val="8.660777158952681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4A-43EE-AB74-CB78D9A443E3}"/>
                </c:ext>
              </c:extLst>
            </c:dLbl>
            <c:dLbl>
              <c:idx val="3"/>
              <c:layout>
                <c:manualLayout>
                  <c:x val="-0.25833322397200348"/>
                  <c:y val="8.3333333333333329E-2"/>
                </c:manualLayout>
              </c:layout>
              <c:showLegendKey val="0"/>
              <c:showVal val="1"/>
              <c:showCatName val="1"/>
              <c:showSerName val="0"/>
              <c:showPercent val="0"/>
              <c:showBubbleSize val="0"/>
              <c:extLst>
                <c:ext xmlns:c15="http://schemas.microsoft.com/office/drawing/2012/chart" uri="{CE6537A1-D6FC-4f65-9D91-7224C49458BB}">
                  <c15:layout>
                    <c:manualLayout>
                      <c:w val="0.2394444444444444"/>
                      <c:h val="0.13824074074074075"/>
                    </c:manualLayout>
                  </c15:layout>
                </c:ext>
                <c:ext xmlns:c16="http://schemas.microsoft.com/office/drawing/2014/chart" uri="{C3380CC4-5D6E-409C-BE32-E72D297353CC}">
                  <c16:uniqueId val="{00000007-A24A-43EE-AB74-CB78D9A443E3}"/>
                </c:ext>
              </c:extLst>
            </c:dLbl>
            <c:dLbl>
              <c:idx val="4"/>
              <c:layout>
                <c:manualLayout>
                  <c:x val="-0.16111111111111109"/>
                  <c:y val="-7.87037037037037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4A-43EE-AB74-CB78D9A443E3}"/>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 Tables Analysis'!$A$40:$A$45</c:f>
              <c:strCache>
                <c:ptCount val="5"/>
                <c:pt idx="0">
                  <c:v>Finance</c:v>
                </c:pt>
                <c:pt idx="1">
                  <c:v>HR</c:v>
                </c:pt>
                <c:pt idx="2">
                  <c:v>IT</c:v>
                </c:pt>
                <c:pt idx="3">
                  <c:v>Marketing</c:v>
                </c:pt>
                <c:pt idx="4">
                  <c:v>Sales</c:v>
                </c:pt>
              </c:strCache>
            </c:strRef>
          </c:cat>
          <c:val>
            <c:numRef>
              <c:f>'Pivot Tables Analysis'!$B$40:$B$45</c:f>
              <c:numCache>
                <c:formatCode>0%</c:formatCode>
                <c:ptCount val="5"/>
                <c:pt idx="0">
                  <c:v>0.10638297872340426</c:v>
                </c:pt>
                <c:pt idx="1">
                  <c:v>0.24468085106382978</c:v>
                </c:pt>
                <c:pt idx="2">
                  <c:v>6.3829787234042548E-2</c:v>
                </c:pt>
                <c:pt idx="3">
                  <c:v>0.19148936170212766</c:v>
                </c:pt>
                <c:pt idx="4">
                  <c:v>0.39361702127659576</c:v>
                </c:pt>
              </c:numCache>
            </c:numRef>
          </c:val>
          <c:extLst>
            <c:ext xmlns:c16="http://schemas.microsoft.com/office/drawing/2014/chart" uri="{C3380CC4-5D6E-409C-BE32-E72D297353CC}">
              <c16:uniqueId val="{0000000A-A24A-43EE-AB74-CB78D9A443E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glow rad="139700">
        <a:schemeClr val="accent1">
          <a:satMod val="175000"/>
          <a:alpha val="40000"/>
        </a:schemeClr>
      </a:glow>
      <a:outerShdw blurRad="50800" dist="38100" dir="5400000" algn="t"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[Quiz2 Power Query (version 2).xlsx]Pivot Tables Analysis!PivotTable15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Total Salaries by Location</a:t>
            </a:r>
            <a:endParaRPr lang="en-US" b="1">
              <a:solidFill>
                <a:schemeClr val="tx1"/>
              </a:solidFill>
            </a:endParaRPr>
          </a:p>
        </c:rich>
      </c:tx>
      <c:layout>
        <c:manualLayout>
          <c:xMode val="edge"/>
          <c:yMode val="edge"/>
          <c:x val="0.29779855643044617"/>
          <c:y val="2.3148148148148147E-2"/>
        </c:manualLayout>
      </c:layout>
      <c:overlay val="0"/>
      <c:spPr>
        <a:solidFill>
          <a:sysClr val="window" lastClr="FFFFFF">
            <a:lumMod val="95000"/>
          </a:sys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3"/>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4"/>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5"/>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6"/>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1">
                  <a:lumMod val="40000"/>
                  <a:lumOff val="60000"/>
                </a:schemeClr>
              </a:solidFill>
            </a:ln>
            <a:effectLst/>
          </c:spPr>
        </c:marker>
      </c:pivotFmt>
      <c:pivotFmt>
        <c:idx val="1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tx2">
                <a:lumMod val="50000"/>
                <a:lumOff val="50000"/>
              </a:schemeClr>
            </a:solidFill>
            <a:round/>
          </a:ln>
          <a:effectLst/>
        </c:spPr>
        <c:marker>
          <c:symbol val="square"/>
          <c:size val="8"/>
          <c:spPr>
            <a:solidFill>
              <a:schemeClr val="tx2">
                <a:lumMod val="25000"/>
                <a:lumOff val="75000"/>
              </a:schemeClr>
            </a:solidFill>
            <a:ln w="9525">
              <a:solidFill>
                <a:schemeClr val="accent3"/>
              </a:solidFill>
            </a:ln>
            <a:effectLst/>
          </c:spPr>
        </c:marker>
      </c:pivotFmt>
      <c:pivotFmt>
        <c:idx val="13"/>
        <c:marker>
          <c:symbol val="square"/>
          <c:size val="8"/>
          <c:spPr>
            <a:solidFill>
              <a:schemeClr val="tx2">
                <a:lumMod val="25000"/>
                <a:lumOff val="75000"/>
              </a:schemeClr>
            </a:solidFill>
            <a:ln w="9525">
              <a:solidFill>
                <a:schemeClr val="accent1">
                  <a:lumMod val="40000"/>
                  <a:lumOff val="60000"/>
                </a:schemeClr>
              </a:solidFill>
            </a:ln>
            <a:effectLst/>
          </c:spPr>
        </c:marker>
      </c:pivotFmt>
      <c:pivotFmt>
        <c:idx val="14"/>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708333333333336"/>
          <c:w val="0.93888888888888888"/>
          <c:h val="0.68308654126567514"/>
        </c:manualLayout>
      </c:layout>
      <c:barChart>
        <c:barDir val="col"/>
        <c:grouping val="clustered"/>
        <c:varyColors val="0"/>
        <c:ser>
          <c:idx val="0"/>
          <c:order val="0"/>
          <c:tx>
            <c:strRef>
              <c:f>'Pivot Tables Analysis'!$F$19</c:f>
              <c:strCache>
                <c:ptCount val="1"/>
                <c:pt idx="0">
                  <c:v>Total</c:v>
                </c:pt>
              </c:strCache>
            </c:strRef>
          </c:tx>
          <c:spPr>
            <a:solidFill>
              <a:schemeClr val="accent1"/>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Analysis'!$E$20:$E$23</c:f>
              <c:strCache>
                <c:ptCount val="3"/>
                <c:pt idx="0">
                  <c:v>الاسكندرية</c:v>
                </c:pt>
                <c:pt idx="1">
                  <c:v>القاهرة</c:v>
                </c:pt>
                <c:pt idx="2">
                  <c:v>طنطا</c:v>
                </c:pt>
              </c:strCache>
            </c:strRef>
          </c:cat>
          <c:val>
            <c:numRef>
              <c:f>'Pivot Tables Analysis'!$F$20:$F$23</c:f>
              <c:numCache>
                <c:formatCode>_("$"* #,##0_);_("$"* \(#,##0\);_("$"* "-"??_);_(@_)</c:formatCode>
                <c:ptCount val="3"/>
                <c:pt idx="0">
                  <c:v>578940</c:v>
                </c:pt>
                <c:pt idx="1">
                  <c:v>480062</c:v>
                </c:pt>
                <c:pt idx="2">
                  <c:v>189576</c:v>
                </c:pt>
              </c:numCache>
            </c:numRef>
          </c:val>
          <c:extLst>
            <c:ext xmlns:c16="http://schemas.microsoft.com/office/drawing/2014/chart" uri="{C3380CC4-5D6E-409C-BE32-E72D297353CC}">
              <c16:uniqueId val="{00000000-66F1-4299-A3CB-D2752DD31E3B}"/>
            </c:ext>
          </c:extLst>
        </c:ser>
        <c:dLbls>
          <c:showLegendKey val="0"/>
          <c:showVal val="0"/>
          <c:showCatName val="0"/>
          <c:showSerName val="0"/>
          <c:showPercent val="0"/>
          <c:showBubbleSize val="0"/>
        </c:dLbls>
        <c:gapWidth val="181"/>
        <c:overlap val="-27"/>
        <c:axId val="1588864655"/>
        <c:axId val="1588863215"/>
      </c:barChart>
      <c:catAx>
        <c:axId val="158886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588863215"/>
        <c:crosses val="autoZero"/>
        <c:auto val="1"/>
        <c:lblAlgn val="ctr"/>
        <c:lblOffset val="100"/>
        <c:noMultiLvlLbl val="0"/>
      </c:catAx>
      <c:valAx>
        <c:axId val="1588863215"/>
        <c:scaling>
          <c:orientation val="minMax"/>
        </c:scaling>
        <c:delete val="1"/>
        <c:axPos val="l"/>
        <c:numFmt formatCode="_(&quot;$&quot;* #,##0_);_(&quot;$&quot;* \(#,##0\);_(&quot;$&quot;* &quot;-&quot;??_);_(@_)" sourceLinked="1"/>
        <c:majorTickMark val="out"/>
        <c:minorTickMark val="none"/>
        <c:tickLblPos val="nextTo"/>
        <c:crossAx val="158886465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glow rad="139700">
        <a:schemeClr val="accent1">
          <a:satMod val="175000"/>
          <a:alpha val="40000"/>
        </a:schemeClr>
      </a:glow>
      <a:outerShdw blurRad="50800" dist="38100" dir="5400000" algn="t"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[Quiz2 Power Query (version 2).xlsx]Pivot Tables Analysis!PivotTable18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Educational</a:t>
            </a:r>
            <a:r>
              <a:rPr lang="en-US" b="1" baseline="0">
                <a:solidFill>
                  <a:schemeClr val="tx1"/>
                </a:solidFill>
              </a:rPr>
              <a:t> Level Distribution By Employees</a:t>
            </a:r>
            <a:endParaRPr lang="en-US" b="1">
              <a:solidFill>
                <a:schemeClr val="tx1"/>
              </a:solidFill>
            </a:endParaRP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pPr>
            <a:solidFill>
              <a:schemeClr val="accent4"/>
            </a:solidFill>
            <a:ln w="9525">
              <a:solidFill>
                <a:schemeClr val="accent4"/>
              </a:solidFill>
            </a:ln>
            <a:effectLst/>
          </c:spPr>
        </c:marker>
      </c:pivotFmt>
      <c:pivotFmt>
        <c:idx val="3"/>
        <c:spPr>
          <a:solidFill>
            <a:schemeClr val="accent4"/>
          </a:solidFill>
          <a:ln>
            <a:noFill/>
          </a:ln>
          <a:effectLst/>
        </c:spPr>
        <c:marker>
          <c:spPr>
            <a:solidFill>
              <a:schemeClr val="accent4"/>
            </a:solidFill>
            <a:ln w="9525">
              <a:solidFill>
                <a:schemeClr val="accent4"/>
              </a:solidFill>
            </a:ln>
            <a:effectLst/>
          </c:spPr>
        </c:marker>
      </c:pivotFmt>
      <c:pivotFmt>
        <c:idx val="4"/>
        <c:spPr>
          <a:solidFill>
            <a:schemeClr val="accent4"/>
          </a:solidFill>
          <a:ln>
            <a:noFill/>
          </a:ln>
          <a:effectLst/>
        </c:spPr>
        <c:marker>
          <c:spPr>
            <a:solidFill>
              <a:schemeClr val="accent4"/>
            </a:solidFill>
            <a:ln w="9525">
              <a:solidFill>
                <a:schemeClr val="accent4"/>
              </a:solidFill>
            </a:ln>
            <a:effectLst/>
          </c:spPr>
        </c:marker>
      </c:pivotFmt>
      <c:pivotFmt>
        <c:idx val="5"/>
        <c:spPr>
          <a:solidFill>
            <a:schemeClr val="accent4"/>
          </a:solidFill>
          <a:ln>
            <a:noFill/>
          </a:ln>
          <a:effectLst/>
        </c:spPr>
        <c:marker>
          <c:spPr>
            <a:solidFill>
              <a:schemeClr val="accent4"/>
            </a:solidFill>
            <a:ln w="9525">
              <a:solidFill>
                <a:schemeClr val="accent4"/>
              </a:solidFill>
            </a:ln>
            <a:effectLst/>
          </c:spPr>
        </c:marker>
      </c:pivotFmt>
      <c:pivotFmt>
        <c:idx val="6"/>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solidFill>
          <a:ln>
            <a:noFill/>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4"/>
          </a:solidFill>
          <a:ln>
            <a:noFill/>
          </a:ln>
          <a:effectLst/>
        </c:spPr>
        <c:marker>
          <c:spPr>
            <a:solidFill>
              <a:schemeClr val="accent4"/>
            </a:solidFill>
            <a:ln w="9525">
              <a:solidFill>
                <a:schemeClr val="accent4"/>
              </a:solidFill>
            </a:ln>
            <a:effectLst/>
          </c:spPr>
        </c:marker>
      </c:pivotFmt>
      <c:pivotFmt>
        <c:idx val="10"/>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4"/>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4"/>
          </a:solidFill>
          <a:ln>
            <a:noFill/>
          </a:ln>
          <a:effectLst/>
        </c:spPr>
        <c:marker>
          <c:spPr>
            <a:solidFill>
              <a:schemeClr val="accent4"/>
            </a:solidFill>
            <a:ln w="9525">
              <a:solidFill>
                <a:schemeClr val="accent4"/>
              </a:solidFill>
            </a:ln>
            <a:effectLst/>
          </c:spPr>
        </c:marker>
      </c:pivotFmt>
      <c:pivotFmt>
        <c:idx val="13"/>
        <c:marker>
          <c:spPr>
            <a:solidFill>
              <a:schemeClr val="accent4"/>
            </a:solidFill>
            <a:ln w="9525">
              <a:solidFill>
                <a:schemeClr val="accent4"/>
              </a:solidFill>
            </a:ln>
            <a:effectLst/>
          </c:spPr>
        </c:marker>
      </c:pivotFmt>
      <c:pivotFmt>
        <c:idx val="14"/>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dLbl>
          <c:idx val="0"/>
          <c:layout>
            <c:manualLayout>
              <c:x val="-0.16111111111111109"/>
              <c:y val="-7.870370370370370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17"/>
        <c:spPr>
          <a:solidFill>
            <a:schemeClr val="accent4"/>
          </a:solidFill>
          <a:ln>
            <a:noFill/>
          </a:ln>
          <a:effectLst/>
        </c:spPr>
        <c:dLbl>
          <c:idx val="0"/>
          <c:layout>
            <c:manualLayout>
              <c:x val="0.12777777777777788"/>
              <c:y val="-4.62962962962963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0.14791666666666667"/>
              <c:y val="8.660777158952681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dLbl>
          <c:idx val="0"/>
          <c:layout>
            <c:manualLayout>
              <c:x val="-0.25833322397200348"/>
              <c:y val="8.333333333333332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4444444444444"/>
                  <c:h val="0.13824074074074075"/>
                </c:manualLayout>
              </c15:layout>
            </c:ext>
          </c:extLst>
        </c:dLbl>
      </c:pivotFmt>
      <c:pivotFmt>
        <c:idx val="20"/>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22"/>
        <c:spPr>
          <a:solidFill>
            <a:schemeClr val="accent4"/>
          </a:solidFill>
          <a:ln>
            <a:noFill/>
          </a:ln>
          <a:effectLst/>
        </c:spPr>
        <c:dLbl>
          <c:idx val="0"/>
          <c:layout>
            <c:manualLayout>
              <c:x val="0.12777777777777788"/>
              <c:y val="-4.62962962962963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dLbl>
          <c:idx val="0"/>
          <c:layout>
            <c:manualLayout>
              <c:x val="0.14791666666666667"/>
              <c:y val="8.660777158952681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dLbl>
          <c:idx val="0"/>
          <c:layout>
            <c:manualLayout>
              <c:x val="-0.25833322397200348"/>
              <c:y val="8.333333333333332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4444444444444"/>
                  <c:h val="0.13824074074074075"/>
                </c:manualLayout>
              </c15:layout>
            </c:ext>
          </c:extLst>
        </c:dLbl>
      </c:pivotFmt>
      <c:pivotFmt>
        <c:idx val="25"/>
        <c:spPr>
          <a:solidFill>
            <a:schemeClr val="accent4"/>
          </a:solidFill>
          <a:ln>
            <a:noFill/>
          </a:ln>
          <a:effectLst/>
        </c:spPr>
        <c:dLbl>
          <c:idx val="0"/>
          <c:layout>
            <c:manualLayout>
              <c:x val="-0.16111111111111109"/>
              <c:y val="-7.870370370370370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28"/>
        <c:spPr>
          <a:solidFill>
            <a:schemeClr val="accent4"/>
          </a:solidFill>
          <a:ln>
            <a:noFill/>
          </a:ln>
          <a:effectLst/>
        </c:spPr>
        <c:dLbl>
          <c:idx val="0"/>
          <c:layout>
            <c:manualLayout>
              <c:x val="0.12777777777777788"/>
              <c:y val="-4.62962962962963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dLbl>
          <c:idx val="0"/>
          <c:layout>
            <c:manualLayout>
              <c:x val="0.14791666666666667"/>
              <c:y val="8.660777158952681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dLbl>
          <c:idx val="0"/>
          <c:layout>
            <c:manualLayout>
              <c:x val="-0.25833322397200348"/>
              <c:y val="8.333333333333332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4444444444444"/>
                  <c:h val="0.13824074074074075"/>
                </c:manualLayout>
              </c15:layout>
            </c:ext>
          </c:extLst>
        </c:dLbl>
      </c:pivotFmt>
      <c:pivotFmt>
        <c:idx val="31"/>
        <c:spPr>
          <a:solidFill>
            <a:schemeClr val="accent4"/>
          </a:solidFill>
          <a:ln>
            <a:noFill/>
          </a:ln>
          <a:effectLst/>
        </c:spPr>
        <c:dLbl>
          <c:idx val="0"/>
          <c:layout>
            <c:manualLayout>
              <c:x val="-0.16111111111111109"/>
              <c:y val="-7.870370370370370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34"/>
        <c:spPr>
          <a:solidFill>
            <a:schemeClr val="accent4"/>
          </a:solidFill>
          <a:ln>
            <a:noFill/>
          </a:ln>
          <a:effectLst/>
        </c:spPr>
        <c:dLbl>
          <c:idx val="0"/>
          <c:layout>
            <c:manualLayout>
              <c:x val="-0.16666666666666666"/>
              <c:y val="6.0185185185185182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dLbl>
          <c:idx val="0"/>
          <c:layout>
            <c:manualLayout>
              <c:x val="-0.22943235552469765"/>
              <c:y val="-7.5429425488480653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4">
              <a:shade val="65000"/>
            </a:schemeClr>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38"/>
        <c:spPr>
          <a:solidFill>
            <a:schemeClr val="accent4"/>
          </a:solidFill>
          <a:ln>
            <a:noFill/>
          </a:ln>
          <a:effectLst/>
        </c:spPr>
        <c:dLbl>
          <c:idx val="0"/>
          <c:layout>
            <c:manualLayout>
              <c:x val="-0.16666666666666666"/>
              <c:y val="6.0185185185185182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4">
              <a:tint val="65000"/>
            </a:schemeClr>
          </a:solidFill>
          <a:ln>
            <a:noFill/>
          </a:ln>
          <a:effectLst/>
        </c:spPr>
        <c:dLbl>
          <c:idx val="0"/>
          <c:layout>
            <c:manualLayout>
              <c:x val="-0.22943235552469765"/>
              <c:y val="-7.5429425488480653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0.21910866910866911"/>
              <c:y val="-8.796296296296296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Lst>
        </c:dLbl>
      </c:pivotFmt>
      <c:pivotFmt>
        <c:idx val="42"/>
        <c:spPr>
          <a:solidFill>
            <a:schemeClr val="accent1">
              <a:lumMod val="40000"/>
              <a:lumOff val="60000"/>
            </a:schemeClr>
          </a:solidFill>
          <a:ln>
            <a:noFill/>
          </a:ln>
          <a:effectLst/>
        </c:spPr>
        <c:dLbl>
          <c:idx val="0"/>
          <c:layout>
            <c:manualLayout>
              <c:x val="-0.16666666666666666"/>
              <c:y val="6.0185185185185182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3"/>
        <c:spPr>
          <a:solidFill>
            <a:schemeClr val="tx2">
              <a:lumMod val="50000"/>
              <a:lumOff val="50000"/>
            </a:schemeClr>
          </a:solidFill>
          <a:ln>
            <a:noFill/>
          </a:ln>
          <a:effectLst/>
        </c:spPr>
        <c:dLbl>
          <c:idx val="0"/>
          <c:layout>
            <c:manualLayout>
              <c:x val="-0.22943235552469765"/>
              <c:y val="-7.5429425488480653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 Analysis'!$F$39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C85-4205-B5AF-081E19DD3753}"/>
              </c:ext>
            </c:extLst>
          </c:dPt>
          <c:dPt>
            <c:idx val="1"/>
            <c:bubble3D val="0"/>
            <c:spPr>
              <a:solidFill>
                <a:schemeClr val="accent1">
                  <a:lumMod val="40000"/>
                  <a:lumOff val="60000"/>
                </a:schemeClr>
              </a:solidFill>
              <a:ln>
                <a:noFill/>
              </a:ln>
              <a:effectLst/>
            </c:spPr>
            <c:extLst>
              <c:ext xmlns:c16="http://schemas.microsoft.com/office/drawing/2014/chart" uri="{C3380CC4-5D6E-409C-BE32-E72D297353CC}">
                <c16:uniqueId val="{00000003-0C85-4205-B5AF-081E19DD3753}"/>
              </c:ext>
            </c:extLst>
          </c:dPt>
          <c:dPt>
            <c:idx val="2"/>
            <c:bubble3D val="0"/>
            <c:spPr>
              <a:solidFill>
                <a:schemeClr val="tx2">
                  <a:lumMod val="50000"/>
                  <a:lumOff val="50000"/>
                </a:schemeClr>
              </a:solidFill>
              <a:ln>
                <a:noFill/>
              </a:ln>
              <a:effectLst/>
            </c:spPr>
            <c:extLst>
              <c:ext xmlns:c16="http://schemas.microsoft.com/office/drawing/2014/chart" uri="{C3380CC4-5D6E-409C-BE32-E72D297353CC}">
                <c16:uniqueId val="{00000005-0C85-4205-B5AF-081E19DD3753}"/>
              </c:ext>
            </c:extLst>
          </c:dPt>
          <c:dPt>
            <c:idx val="3"/>
            <c:bubble3D val="0"/>
            <c:spPr>
              <a:solidFill>
                <a:schemeClr val="accent4">
                  <a:tint val="30000"/>
                </a:schemeClr>
              </a:solidFill>
              <a:ln>
                <a:noFill/>
              </a:ln>
              <a:effectLst/>
            </c:spPr>
            <c:extLst>
              <c:ext xmlns:c16="http://schemas.microsoft.com/office/drawing/2014/chart" uri="{C3380CC4-5D6E-409C-BE32-E72D297353CC}">
                <c16:uniqueId val="{00000007-0C85-4205-B5AF-081E19DD3753}"/>
              </c:ext>
            </c:extLst>
          </c:dPt>
          <c:dPt>
            <c:idx val="4"/>
            <c:bubble3D val="0"/>
            <c:spPr>
              <a:solidFill>
                <a:schemeClr val="accent4">
                  <a:tint val="95000"/>
                </a:schemeClr>
              </a:solidFill>
              <a:ln>
                <a:noFill/>
              </a:ln>
              <a:effectLst/>
            </c:spPr>
            <c:extLst>
              <c:ext xmlns:c16="http://schemas.microsoft.com/office/drawing/2014/chart" uri="{C3380CC4-5D6E-409C-BE32-E72D297353CC}">
                <c16:uniqueId val="{00000009-0C85-4205-B5AF-081E19DD3753}"/>
              </c:ext>
            </c:extLst>
          </c:dPt>
          <c:dLbls>
            <c:dLbl>
              <c:idx val="0"/>
              <c:layout>
                <c:manualLayout>
                  <c:x val="0.21910866910866911"/>
                  <c:y val="-8.7962962962962965E-2"/>
                </c:manualLayout>
              </c:layout>
              <c:showLegendKey val="0"/>
              <c:showVal val="1"/>
              <c:showCatName val="1"/>
              <c:showSerName val="0"/>
              <c:showPercent val="0"/>
              <c:showBubbleSize val="0"/>
              <c:extLst>
                <c:ext xmlns:c15="http://schemas.microsoft.com/office/drawing/2012/chart" uri="{CE6537A1-D6FC-4f65-9D91-7224C49458BB}">
                  <c15:layout>
                    <c:manualLayout>
                      <c:w val="0.25354090354090353"/>
                      <c:h val="0.13824074074074075"/>
                    </c:manualLayout>
                  </c15:layout>
                </c:ext>
                <c:ext xmlns:c16="http://schemas.microsoft.com/office/drawing/2014/chart" uri="{C3380CC4-5D6E-409C-BE32-E72D297353CC}">
                  <c16:uniqueId val="{00000001-0C85-4205-B5AF-081E19DD3753}"/>
                </c:ext>
              </c:extLst>
            </c:dLbl>
            <c:dLbl>
              <c:idx val="1"/>
              <c:layout>
                <c:manualLayout>
                  <c:x val="-0.16666666666666666"/>
                  <c:y val="6.018518518518518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85-4205-B5AF-081E19DD3753}"/>
                </c:ext>
              </c:extLst>
            </c:dLbl>
            <c:dLbl>
              <c:idx val="2"/>
              <c:layout>
                <c:manualLayout>
                  <c:x val="-0.22943235552469765"/>
                  <c:y val="-7.542942548848065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85-4205-B5AF-081E19DD3753}"/>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 Tables Analysis'!$E$40:$E$43</c:f>
              <c:strCache>
                <c:ptCount val="3"/>
                <c:pt idx="0">
                  <c:v>بكالوريوس</c:v>
                </c:pt>
                <c:pt idx="1">
                  <c:v>دبلوم</c:v>
                </c:pt>
                <c:pt idx="2">
                  <c:v>ماجستير</c:v>
                </c:pt>
              </c:strCache>
            </c:strRef>
          </c:cat>
          <c:val>
            <c:numRef>
              <c:f>'Pivot Tables Analysis'!$F$40:$F$43</c:f>
              <c:numCache>
                <c:formatCode>0%</c:formatCode>
                <c:ptCount val="3"/>
                <c:pt idx="0">
                  <c:v>0.58510638297872342</c:v>
                </c:pt>
                <c:pt idx="1">
                  <c:v>0.38297872340425532</c:v>
                </c:pt>
                <c:pt idx="2">
                  <c:v>3.1914893617021274E-2</c:v>
                </c:pt>
              </c:numCache>
            </c:numRef>
          </c:val>
          <c:extLst>
            <c:ext xmlns:c16="http://schemas.microsoft.com/office/drawing/2014/chart" uri="{C3380CC4-5D6E-409C-BE32-E72D297353CC}">
              <c16:uniqueId val="{0000000A-0C85-4205-B5AF-081E19DD375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glow rad="139700">
        <a:schemeClr val="accent1">
          <a:satMod val="175000"/>
          <a:alpha val="40000"/>
        </a:schemeClr>
      </a:glow>
      <a:outerShdw blurRad="50800" dist="38100" dir="5400000" algn="t"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[Quiz2 Power Query (version 2).xlsx]Pivot Tables 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Avg Age &amp; Experience Per Location</a:t>
            </a: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 Analysis'!$B$19</c:f>
              <c:strCache>
                <c:ptCount val="1"/>
                <c:pt idx="0">
                  <c:v>Avg Age</c:v>
                </c:pt>
              </c:strCache>
            </c:strRef>
          </c:tx>
          <c:spPr>
            <a:solidFill>
              <a:schemeClr val="accent1"/>
            </a:solidFill>
            <a:ln>
              <a:noFill/>
            </a:ln>
            <a:effectLst/>
          </c:spPr>
          <c:invertIfNegative val="0"/>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Analysis'!$A$20:$A$23</c:f>
              <c:strCache>
                <c:ptCount val="3"/>
                <c:pt idx="0">
                  <c:v>الاسكندرية</c:v>
                </c:pt>
                <c:pt idx="1">
                  <c:v>القاهرة</c:v>
                </c:pt>
                <c:pt idx="2">
                  <c:v>طنطا</c:v>
                </c:pt>
              </c:strCache>
            </c:strRef>
          </c:cat>
          <c:val>
            <c:numRef>
              <c:f>'Pivot Tables Analysis'!$B$20:$B$23</c:f>
              <c:numCache>
                <c:formatCode>0</c:formatCode>
                <c:ptCount val="3"/>
                <c:pt idx="0">
                  <c:v>52.441860465116278</c:v>
                </c:pt>
                <c:pt idx="1">
                  <c:v>51.342857142857142</c:v>
                </c:pt>
                <c:pt idx="2">
                  <c:v>50.625</c:v>
                </c:pt>
              </c:numCache>
            </c:numRef>
          </c:val>
          <c:extLst>
            <c:ext xmlns:c16="http://schemas.microsoft.com/office/drawing/2014/chart" uri="{C3380CC4-5D6E-409C-BE32-E72D297353CC}">
              <c16:uniqueId val="{00000000-64ED-4A43-AF46-D6E0E2508F11}"/>
            </c:ext>
          </c:extLst>
        </c:ser>
        <c:ser>
          <c:idx val="1"/>
          <c:order val="1"/>
          <c:tx>
            <c:strRef>
              <c:f>'Pivot Tables Analysis'!$C$19</c:f>
              <c:strCache>
                <c:ptCount val="1"/>
                <c:pt idx="0">
                  <c:v>Avg Experience(Years)</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Analysis'!$A$20:$A$23</c:f>
              <c:strCache>
                <c:ptCount val="3"/>
                <c:pt idx="0">
                  <c:v>الاسكندرية</c:v>
                </c:pt>
                <c:pt idx="1">
                  <c:v>القاهرة</c:v>
                </c:pt>
                <c:pt idx="2">
                  <c:v>طنطا</c:v>
                </c:pt>
              </c:strCache>
            </c:strRef>
          </c:cat>
          <c:val>
            <c:numRef>
              <c:f>'Pivot Tables Analysis'!$C$20:$C$23</c:f>
              <c:numCache>
                <c:formatCode>0</c:formatCode>
                <c:ptCount val="3"/>
                <c:pt idx="0">
                  <c:v>15.976744186046512</c:v>
                </c:pt>
                <c:pt idx="1">
                  <c:v>14.8</c:v>
                </c:pt>
                <c:pt idx="2">
                  <c:v>14.9375</c:v>
                </c:pt>
              </c:numCache>
            </c:numRef>
          </c:val>
          <c:extLst>
            <c:ext xmlns:c16="http://schemas.microsoft.com/office/drawing/2014/chart" uri="{C3380CC4-5D6E-409C-BE32-E72D297353CC}">
              <c16:uniqueId val="{00000001-64ED-4A43-AF46-D6E0E2508F11}"/>
            </c:ext>
          </c:extLst>
        </c:ser>
        <c:dLbls>
          <c:dLblPos val="ctr"/>
          <c:showLegendKey val="0"/>
          <c:showVal val="1"/>
          <c:showCatName val="0"/>
          <c:showSerName val="0"/>
          <c:showPercent val="0"/>
          <c:showBubbleSize val="0"/>
        </c:dLbls>
        <c:gapWidth val="150"/>
        <c:overlap val="100"/>
        <c:axId val="1080946863"/>
        <c:axId val="1080952623"/>
      </c:barChart>
      <c:catAx>
        <c:axId val="1080946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080952623"/>
        <c:crosses val="autoZero"/>
        <c:auto val="1"/>
        <c:lblAlgn val="ctr"/>
        <c:lblOffset val="100"/>
        <c:noMultiLvlLbl val="0"/>
      </c:catAx>
      <c:valAx>
        <c:axId val="1080952623"/>
        <c:scaling>
          <c:orientation val="minMax"/>
        </c:scaling>
        <c:delete val="1"/>
        <c:axPos val="b"/>
        <c:numFmt formatCode="0" sourceLinked="1"/>
        <c:majorTickMark val="out"/>
        <c:minorTickMark val="none"/>
        <c:tickLblPos val="nextTo"/>
        <c:crossAx val="1080946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1">
          <a:satMod val="175000"/>
          <a:alpha val="40000"/>
        </a:schemeClr>
      </a:glow>
      <a:outerShdw blurRad="50800" dist="38100" dir="5400000" algn="t"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3" Type="http://schemas.openxmlformats.org/officeDocument/2006/relationships/image" Target="../media/image13.png"/><Relationship Id="rId7" Type="http://schemas.openxmlformats.org/officeDocument/2006/relationships/chart" Target="../charts/chart7.xml"/><Relationship Id="rId12" Type="http://schemas.openxmlformats.org/officeDocument/2006/relationships/image" Target="../media/image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image" Target="../media/image14.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65050</xdr:colOff>
      <xdr:row>0</xdr:row>
      <xdr:rowOff>102221</xdr:rowOff>
    </xdr:from>
    <xdr:to>
      <xdr:col>38</xdr:col>
      <xdr:colOff>292099</xdr:colOff>
      <xdr:row>5</xdr:row>
      <xdr:rowOff>87085</xdr:rowOff>
    </xdr:to>
    <xdr:sp macro="" textlink="">
      <xdr:nvSpPr>
        <xdr:cNvPr id="2" name="TextBox 1">
          <a:extLst>
            <a:ext uri="{FF2B5EF4-FFF2-40B4-BE49-F238E27FC236}">
              <a16:creationId xmlns:a16="http://schemas.microsoft.com/office/drawing/2014/main" id="{8AD531EE-F6F1-4807-91E7-51B9E2E8DFB7}"/>
            </a:ext>
          </a:extLst>
        </xdr:cNvPr>
        <xdr:cNvSpPr txBox="1"/>
      </xdr:nvSpPr>
      <xdr:spPr>
        <a:xfrm>
          <a:off x="65050" y="102221"/>
          <a:ext cx="23391849" cy="873864"/>
        </a:xfrm>
        <a:prstGeom prst="rect">
          <a:avLst/>
        </a:prstGeom>
        <a:solidFill>
          <a:schemeClr val="bg1">
            <a:lumMod val="95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a:solidFill>
                <a:schemeClr val="dk1"/>
              </a:solidFill>
              <a:effectLst/>
              <a:latin typeface="+mn-lt"/>
              <a:ea typeface="+mn-ea"/>
              <a:cs typeface="+mn-cs"/>
            </a:rPr>
            <a:t>HR Performance &amp; Payroll Dashboard–2019/2020</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tx1"/>
              </a:solidFill>
              <a:effectLst/>
              <a:latin typeface="+mn-lt"/>
              <a:ea typeface="+mn-ea"/>
              <a:cs typeface="+mn-cs"/>
            </a:rPr>
            <a:t>Summary by Location, Department, and Job Title</a:t>
          </a:r>
          <a:endParaRPr lang="en-US" sz="4400" b="1">
            <a:solidFill>
              <a:schemeClr val="tx1"/>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3200">
            <a:effectLst/>
          </a:endParaRPr>
        </a:p>
        <a:p>
          <a:pPr algn="ctr"/>
          <a:endParaRPr lang="en-US" sz="4800"/>
        </a:p>
      </xdr:txBody>
    </xdr:sp>
    <xdr:clientData/>
  </xdr:twoCellAnchor>
  <xdr:twoCellAnchor>
    <xdr:from>
      <xdr:col>0</xdr:col>
      <xdr:colOff>0</xdr:colOff>
      <xdr:row>0</xdr:row>
      <xdr:rowOff>33618</xdr:rowOff>
    </xdr:from>
    <xdr:to>
      <xdr:col>38</xdr:col>
      <xdr:colOff>114300</xdr:colOff>
      <xdr:row>6</xdr:row>
      <xdr:rowOff>8771</xdr:rowOff>
    </xdr:to>
    <xdr:grpSp>
      <xdr:nvGrpSpPr>
        <xdr:cNvPr id="39" name="Group 38">
          <a:extLst>
            <a:ext uri="{FF2B5EF4-FFF2-40B4-BE49-F238E27FC236}">
              <a16:creationId xmlns:a16="http://schemas.microsoft.com/office/drawing/2014/main" id="{3701655E-00C7-4D97-AD21-6DE5FCC01464}"/>
            </a:ext>
          </a:extLst>
        </xdr:cNvPr>
        <xdr:cNvGrpSpPr/>
      </xdr:nvGrpSpPr>
      <xdr:grpSpPr>
        <a:xfrm>
          <a:off x="0" y="33618"/>
          <a:ext cx="23279100" cy="1041953"/>
          <a:chOff x="-560295" y="-11206"/>
          <a:chExt cx="20579622" cy="1050918"/>
        </a:xfrm>
      </xdr:grpSpPr>
      <xdr:pic>
        <xdr:nvPicPr>
          <xdr:cNvPr id="40" name="Picture 39">
            <a:extLst>
              <a:ext uri="{FF2B5EF4-FFF2-40B4-BE49-F238E27FC236}">
                <a16:creationId xmlns:a16="http://schemas.microsoft.com/office/drawing/2014/main" id="{5D835B47-5CBB-3EC4-1D4D-1DDACF5E0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04960" y="260009"/>
            <a:ext cx="814367" cy="395760"/>
          </a:xfrm>
          <a:prstGeom prst="rect">
            <a:avLst/>
          </a:prstGeom>
        </xdr:spPr>
      </xdr:pic>
      <xdr:pic>
        <xdr:nvPicPr>
          <xdr:cNvPr id="41" name="Picture 40">
            <a:extLst>
              <a:ext uri="{FF2B5EF4-FFF2-40B4-BE49-F238E27FC236}">
                <a16:creationId xmlns:a16="http://schemas.microsoft.com/office/drawing/2014/main" id="{4A7ADBD6-A280-7087-C69A-35F7772DA7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708027" y="204713"/>
            <a:ext cx="697369" cy="680005"/>
          </a:xfrm>
          <a:prstGeom prst="rect">
            <a:avLst/>
          </a:prstGeom>
        </xdr:spPr>
      </xdr:pic>
      <xdr:pic>
        <xdr:nvPicPr>
          <xdr:cNvPr id="42" name="Picture 41">
            <a:extLst>
              <a:ext uri="{FF2B5EF4-FFF2-40B4-BE49-F238E27FC236}">
                <a16:creationId xmlns:a16="http://schemas.microsoft.com/office/drawing/2014/main" id="{68777962-7E57-1530-7B4C-2E6F1CB904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614860" y="368318"/>
            <a:ext cx="374511" cy="366964"/>
          </a:xfrm>
          <a:prstGeom prst="rect">
            <a:avLst/>
          </a:prstGeom>
        </xdr:spPr>
      </xdr:pic>
      <xdr:pic>
        <xdr:nvPicPr>
          <xdr:cNvPr id="43" name="Picture 42">
            <a:extLst>
              <a:ext uri="{FF2B5EF4-FFF2-40B4-BE49-F238E27FC236}">
                <a16:creationId xmlns:a16="http://schemas.microsoft.com/office/drawing/2014/main" id="{0ED78A61-AC57-6358-443C-43E3F67588E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60295" y="-11206"/>
            <a:ext cx="1344706" cy="1050918"/>
          </a:xfrm>
          <a:prstGeom prst="rect">
            <a:avLst/>
          </a:prstGeom>
        </xdr:spPr>
      </xdr:pic>
    </xdr:grpSp>
    <xdr:clientData/>
  </xdr:twoCellAnchor>
  <xdr:twoCellAnchor>
    <xdr:from>
      <xdr:col>0</xdr:col>
      <xdr:colOff>131484</xdr:colOff>
      <xdr:row>5</xdr:row>
      <xdr:rowOff>169233</xdr:rowOff>
    </xdr:from>
    <xdr:to>
      <xdr:col>38</xdr:col>
      <xdr:colOff>451475</xdr:colOff>
      <xdr:row>13</xdr:row>
      <xdr:rowOff>8145</xdr:rowOff>
    </xdr:to>
    <xdr:grpSp>
      <xdr:nvGrpSpPr>
        <xdr:cNvPr id="52" name="Group 51">
          <a:extLst>
            <a:ext uri="{FF2B5EF4-FFF2-40B4-BE49-F238E27FC236}">
              <a16:creationId xmlns:a16="http://schemas.microsoft.com/office/drawing/2014/main" id="{8894B645-03D7-7BF0-7135-D467C832F4D5}"/>
            </a:ext>
          </a:extLst>
        </xdr:cNvPr>
        <xdr:cNvGrpSpPr/>
      </xdr:nvGrpSpPr>
      <xdr:grpSpPr>
        <a:xfrm>
          <a:off x="131484" y="1058233"/>
          <a:ext cx="23484791" cy="1261312"/>
          <a:chOff x="360084" y="1083633"/>
          <a:chExt cx="23484791" cy="1261312"/>
        </a:xfrm>
      </xdr:grpSpPr>
      <xdr:grpSp>
        <xdr:nvGrpSpPr>
          <xdr:cNvPr id="50" name="Group 49">
            <a:extLst>
              <a:ext uri="{FF2B5EF4-FFF2-40B4-BE49-F238E27FC236}">
                <a16:creationId xmlns:a16="http://schemas.microsoft.com/office/drawing/2014/main" id="{B101B25A-C209-1066-E466-2C6368D6AED0}"/>
              </a:ext>
            </a:extLst>
          </xdr:cNvPr>
          <xdr:cNvGrpSpPr/>
        </xdr:nvGrpSpPr>
        <xdr:grpSpPr>
          <a:xfrm>
            <a:off x="360084" y="1122338"/>
            <a:ext cx="4190704" cy="1183902"/>
            <a:chOff x="156884" y="1090286"/>
            <a:chExt cx="3727521" cy="1183902"/>
          </a:xfrm>
        </xdr:grpSpPr>
        <xdr:grpSp>
          <xdr:nvGrpSpPr>
            <xdr:cNvPr id="4" name="Group 3">
              <a:extLst>
                <a:ext uri="{FF2B5EF4-FFF2-40B4-BE49-F238E27FC236}">
                  <a16:creationId xmlns:a16="http://schemas.microsoft.com/office/drawing/2014/main" id="{FA3BDF71-4A15-7AB5-B095-3379CB766C11}"/>
                </a:ext>
              </a:extLst>
            </xdr:cNvPr>
            <xdr:cNvGrpSpPr/>
          </xdr:nvGrpSpPr>
          <xdr:grpSpPr>
            <a:xfrm>
              <a:off x="156884" y="1090286"/>
              <a:ext cx="3727521" cy="1183902"/>
              <a:chOff x="11422566" y="4341542"/>
              <a:chExt cx="2681061" cy="1121743"/>
            </a:xfrm>
          </xdr:grpSpPr>
          <xdr:sp macro="" textlink="">
            <xdr:nvSpPr>
              <xdr:cNvPr id="27" name="Rectangle: Rounded Corners 26">
                <a:extLst>
                  <a:ext uri="{FF2B5EF4-FFF2-40B4-BE49-F238E27FC236}">
                    <a16:creationId xmlns:a16="http://schemas.microsoft.com/office/drawing/2014/main" id="{B83BD895-A87F-50C0-71B6-B6AB4E0A0F69}"/>
                  </a:ext>
                </a:extLst>
              </xdr:cNvPr>
              <xdr:cNvSpPr/>
            </xdr:nvSpPr>
            <xdr:spPr>
              <a:xfrm>
                <a:off x="11422566" y="4341542"/>
                <a:ext cx="2681061"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Top Performer Employee</a:t>
                </a:r>
                <a:endParaRPr lang="en-US" sz="2800" b="1">
                  <a:solidFill>
                    <a:schemeClr val="tx1"/>
                  </a:solidFill>
                </a:endParaRPr>
              </a:p>
            </xdr:txBody>
          </xdr:sp>
          <xdr:sp macro="" textlink="'Deeper Pivot Analysis'!Q31:R31">
            <xdr:nvSpPr>
              <xdr:cNvPr id="29" name="TextBox 28">
                <a:extLst>
                  <a:ext uri="{FF2B5EF4-FFF2-40B4-BE49-F238E27FC236}">
                    <a16:creationId xmlns:a16="http://schemas.microsoft.com/office/drawing/2014/main" id="{3C54E724-F846-6CEA-340E-E059F7ECE295}"/>
                  </a:ext>
                </a:extLst>
              </xdr:cNvPr>
              <xdr:cNvSpPr txBox="1"/>
            </xdr:nvSpPr>
            <xdr:spPr>
              <a:xfrm>
                <a:off x="12226440" y="4902370"/>
                <a:ext cx="1615871" cy="32760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E01F1D-F841-492A-92CE-35A3F4A5140F}" type="TxLink">
                  <a:rPr lang="ar-EG" sz="2000" b="1" i="0" u="none" strike="noStrike">
                    <a:solidFill>
                      <a:schemeClr val="tx1"/>
                    </a:solidFill>
                    <a:latin typeface="Aptos Narrow"/>
                  </a:rPr>
                  <a:pPr/>
                  <a:t>هدي محمد — 0.92</a:t>
                </a:fld>
                <a:endParaRPr lang="en-US" sz="4800" b="1">
                  <a:solidFill>
                    <a:schemeClr val="tx1"/>
                  </a:solidFill>
                </a:endParaRPr>
              </a:p>
            </xdr:txBody>
          </xdr:sp>
        </xdr:grpSp>
        <xdr:pic>
          <xdr:nvPicPr>
            <xdr:cNvPr id="8" name="Picture 7">
              <a:extLst>
                <a:ext uri="{FF2B5EF4-FFF2-40B4-BE49-F238E27FC236}">
                  <a16:creationId xmlns:a16="http://schemas.microsoft.com/office/drawing/2014/main" id="{D5B374F7-93FE-8EC0-01E2-95710B4BED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1706" y="1633817"/>
              <a:ext cx="614086" cy="605122"/>
            </a:xfrm>
            <a:prstGeom prst="rect">
              <a:avLst/>
            </a:prstGeom>
          </xdr:spPr>
        </xdr:pic>
      </xdr:grpSp>
      <xdr:grpSp>
        <xdr:nvGrpSpPr>
          <xdr:cNvPr id="35" name="Group 34">
            <a:extLst>
              <a:ext uri="{FF2B5EF4-FFF2-40B4-BE49-F238E27FC236}">
                <a16:creationId xmlns:a16="http://schemas.microsoft.com/office/drawing/2014/main" id="{0F7510C5-4EA5-4845-AC4B-84FFDE75514D}"/>
              </a:ext>
            </a:extLst>
          </xdr:cNvPr>
          <xdr:cNvGrpSpPr/>
        </xdr:nvGrpSpPr>
        <xdr:grpSpPr>
          <a:xfrm>
            <a:off x="20037241" y="1094747"/>
            <a:ext cx="3807634" cy="1239085"/>
            <a:chOff x="17395641" y="1062696"/>
            <a:chExt cx="3386790" cy="1239085"/>
          </a:xfrm>
        </xdr:grpSpPr>
        <xdr:grpSp>
          <xdr:nvGrpSpPr>
            <xdr:cNvPr id="14" name="Group 13">
              <a:extLst>
                <a:ext uri="{FF2B5EF4-FFF2-40B4-BE49-F238E27FC236}">
                  <a16:creationId xmlns:a16="http://schemas.microsoft.com/office/drawing/2014/main" id="{F0F2BADC-6748-0FDA-6EE8-48BF3058E416}"/>
                </a:ext>
              </a:extLst>
            </xdr:cNvPr>
            <xdr:cNvGrpSpPr/>
          </xdr:nvGrpSpPr>
          <xdr:grpSpPr>
            <a:xfrm>
              <a:off x="17395641" y="1062696"/>
              <a:ext cx="3386790" cy="1239085"/>
              <a:chOff x="11422567" y="4341543"/>
              <a:chExt cx="2747325" cy="1121743"/>
            </a:xfrm>
          </xdr:grpSpPr>
          <xdr:sp macro="" textlink="">
            <xdr:nvSpPr>
              <xdr:cNvPr id="16" name="Rectangle: Rounded Corners 15">
                <a:extLst>
                  <a:ext uri="{FF2B5EF4-FFF2-40B4-BE49-F238E27FC236}">
                    <a16:creationId xmlns:a16="http://schemas.microsoft.com/office/drawing/2014/main" id="{906FBB28-6312-2D96-082C-6DC259113D9E}"/>
                  </a:ext>
                </a:extLst>
              </xdr:cNvPr>
              <xdr:cNvSpPr/>
            </xdr:nvSpPr>
            <xdr:spPr>
              <a:xfrm>
                <a:off x="11422567" y="4341543"/>
                <a:ext cx="274732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Performance</a:t>
                </a:r>
                <a:r>
                  <a:rPr lang="en-US" sz="2400" b="1" baseline="0">
                    <a:solidFill>
                      <a:schemeClr val="tx1"/>
                    </a:solidFill>
                  </a:rPr>
                  <a:t> Gap 19/20</a:t>
                </a:r>
                <a:endParaRPr lang="en-US" sz="2800" b="1">
                  <a:solidFill>
                    <a:schemeClr val="tx1"/>
                  </a:solidFill>
                </a:endParaRPr>
              </a:p>
            </xdr:txBody>
          </xdr:sp>
          <xdr:sp macro="" textlink="'Deeper Pivot Analysis'!L41">
            <xdr:nvSpPr>
              <xdr:cNvPr id="17" name="TextBox 16">
                <a:extLst>
                  <a:ext uri="{FF2B5EF4-FFF2-40B4-BE49-F238E27FC236}">
                    <a16:creationId xmlns:a16="http://schemas.microsoft.com/office/drawing/2014/main" id="{DA98401A-AEEB-92A4-0A36-6E3D19A86297}"/>
                  </a:ext>
                </a:extLst>
              </xdr:cNvPr>
              <xdr:cNvSpPr txBox="1"/>
            </xdr:nvSpPr>
            <xdr:spPr>
              <a:xfrm>
                <a:off x="12527584" y="4876924"/>
                <a:ext cx="1273096" cy="4051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D38119-DE7D-4D6B-AE40-C613209FE4D1}" type="TxLink">
                  <a:rPr lang="en-US" sz="2200" b="1" i="0" u="none" strike="noStrike">
                    <a:solidFill>
                      <a:schemeClr val="tx1"/>
                    </a:solidFill>
                    <a:latin typeface="Aptos Narrow"/>
                  </a:rPr>
                  <a:pPr/>
                  <a:t>0.11</a:t>
                </a:fld>
                <a:endParaRPr lang="en-US" sz="2200" b="1">
                  <a:solidFill>
                    <a:schemeClr val="tx1"/>
                  </a:solidFill>
                </a:endParaRPr>
              </a:p>
            </xdr:txBody>
          </xdr:sp>
        </xdr:grpSp>
        <xdr:pic>
          <xdr:nvPicPr>
            <xdr:cNvPr id="10" name="Picture 9">
              <a:extLst>
                <a:ext uri="{FF2B5EF4-FFF2-40B4-BE49-F238E27FC236}">
                  <a16:creationId xmlns:a16="http://schemas.microsoft.com/office/drawing/2014/main" id="{8C3A879F-98DE-9AC9-E25F-D50FEC8DEEA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461006" y="1545664"/>
              <a:ext cx="710453" cy="699995"/>
            </a:xfrm>
            <a:prstGeom prst="rect">
              <a:avLst/>
            </a:prstGeom>
          </xdr:spPr>
        </xdr:pic>
      </xdr:grpSp>
      <xdr:grpSp>
        <xdr:nvGrpSpPr>
          <xdr:cNvPr id="37" name="Group 36">
            <a:extLst>
              <a:ext uri="{FF2B5EF4-FFF2-40B4-BE49-F238E27FC236}">
                <a16:creationId xmlns:a16="http://schemas.microsoft.com/office/drawing/2014/main" id="{25B13249-AD64-46B9-244C-8D5C6E69A430}"/>
              </a:ext>
            </a:extLst>
          </xdr:cNvPr>
          <xdr:cNvGrpSpPr/>
        </xdr:nvGrpSpPr>
        <xdr:grpSpPr>
          <a:xfrm>
            <a:off x="13215074" y="1089697"/>
            <a:ext cx="3245735" cy="1249184"/>
            <a:chOff x="11432926" y="1057646"/>
            <a:chExt cx="2886996" cy="1249184"/>
          </a:xfrm>
        </xdr:grpSpPr>
        <xdr:grpSp>
          <xdr:nvGrpSpPr>
            <xdr:cNvPr id="48" name="Group 47">
              <a:extLst>
                <a:ext uri="{FF2B5EF4-FFF2-40B4-BE49-F238E27FC236}">
                  <a16:creationId xmlns:a16="http://schemas.microsoft.com/office/drawing/2014/main" id="{4865CEE1-9601-4D0E-BAFE-FA5783C86076}"/>
                </a:ext>
              </a:extLst>
            </xdr:cNvPr>
            <xdr:cNvGrpSpPr/>
          </xdr:nvGrpSpPr>
          <xdr:grpSpPr>
            <a:xfrm>
              <a:off x="11432926" y="1057646"/>
              <a:ext cx="2886996" cy="1249184"/>
              <a:chOff x="11422566" y="4341542"/>
              <a:chExt cx="2541545" cy="1121743"/>
            </a:xfrm>
          </xdr:grpSpPr>
          <xdr:sp macro="" textlink="">
            <xdr:nvSpPr>
              <xdr:cNvPr id="49" name="Rectangle: Rounded Corners 48">
                <a:extLst>
                  <a:ext uri="{FF2B5EF4-FFF2-40B4-BE49-F238E27FC236}">
                    <a16:creationId xmlns:a16="http://schemas.microsoft.com/office/drawing/2014/main" id="{F70720E8-AD7C-471E-1257-1A32C3BA8C21}"/>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a:t>
                </a:r>
                <a:r>
                  <a:rPr lang="en-US" sz="2400" b="1" baseline="0">
                    <a:solidFill>
                      <a:schemeClr val="tx1"/>
                    </a:solidFill>
                  </a:rPr>
                  <a:t> High Performers</a:t>
                </a:r>
                <a:endParaRPr lang="en-US" sz="2800" b="1">
                  <a:solidFill>
                    <a:schemeClr val="tx1"/>
                  </a:solidFill>
                </a:endParaRPr>
              </a:p>
            </xdr:txBody>
          </xdr:sp>
          <xdr:sp macro="" textlink="'Deeper Pivot Analysis'!B36">
            <xdr:nvSpPr>
              <xdr:cNvPr id="51" name="TextBox 50">
                <a:extLst>
                  <a:ext uri="{FF2B5EF4-FFF2-40B4-BE49-F238E27FC236}">
                    <a16:creationId xmlns:a16="http://schemas.microsoft.com/office/drawing/2014/main" id="{3C4D7C84-2320-F846-DEDB-0A914324AFAA}"/>
                  </a:ext>
                </a:extLst>
              </xdr:cNvPr>
              <xdr:cNvSpPr txBox="1"/>
            </xdr:nvSpPr>
            <xdr:spPr>
              <a:xfrm>
                <a:off x="12649009" y="4900271"/>
                <a:ext cx="1241503" cy="2843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2A61EA-7CE8-457B-85A9-8487B0FB766F}" type="TxLink">
                  <a:rPr lang="en-US" sz="2200" b="1" i="0" u="none" strike="noStrike">
                    <a:solidFill>
                      <a:srgbClr val="000000"/>
                    </a:solidFill>
                    <a:latin typeface="Aptos Narrow"/>
                  </a:rPr>
                  <a:pPr/>
                  <a:t>35%</a:t>
                </a:fld>
                <a:endParaRPr lang="en-US" sz="2200" b="1"/>
              </a:p>
            </xdr:txBody>
          </xdr:sp>
        </xdr:grpSp>
        <xdr:pic>
          <xdr:nvPicPr>
            <xdr:cNvPr id="15" name="Picture 14">
              <a:extLst>
                <a:ext uri="{FF2B5EF4-FFF2-40B4-BE49-F238E27FC236}">
                  <a16:creationId xmlns:a16="http://schemas.microsoft.com/office/drawing/2014/main" id="{5B4C9E7F-1539-C14E-B76A-28C0DF5472B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814697">
              <a:off x="11508801" y="1586039"/>
              <a:ext cx="614061" cy="603602"/>
            </a:xfrm>
            <a:prstGeom prst="rect">
              <a:avLst/>
            </a:prstGeom>
          </xdr:spPr>
        </xdr:pic>
      </xdr:grpSp>
      <xdr:grpSp>
        <xdr:nvGrpSpPr>
          <xdr:cNvPr id="46" name="Group 45">
            <a:extLst>
              <a:ext uri="{FF2B5EF4-FFF2-40B4-BE49-F238E27FC236}">
                <a16:creationId xmlns:a16="http://schemas.microsoft.com/office/drawing/2014/main" id="{E2713784-EA78-4CB5-769A-4E6CD2F0C2AC}"/>
              </a:ext>
            </a:extLst>
          </xdr:cNvPr>
          <xdr:cNvGrpSpPr/>
        </xdr:nvGrpSpPr>
        <xdr:grpSpPr>
          <a:xfrm>
            <a:off x="4918533" y="1116974"/>
            <a:ext cx="4315316" cy="1194631"/>
            <a:chOff x="4158793" y="1084921"/>
            <a:chExt cx="3838360" cy="1194631"/>
          </a:xfrm>
        </xdr:grpSpPr>
        <xdr:grpSp>
          <xdr:nvGrpSpPr>
            <xdr:cNvPr id="7" name="Group 6">
              <a:extLst>
                <a:ext uri="{FF2B5EF4-FFF2-40B4-BE49-F238E27FC236}">
                  <a16:creationId xmlns:a16="http://schemas.microsoft.com/office/drawing/2014/main" id="{8B4B522B-65A4-F51F-A229-AB2CD5D538AB}"/>
                </a:ext>
              </a:extLst>
            </xdr:cNvPr>
            <xdr:cNvGrpSpPr/>
          </xdr:nvGrpSpPr>
          <xdr:grpSpPr>
            <a:xfrm>
              <a:off x="4158793" y="1084921"/>
              <a:ext cx="3838360" cy="1194631"/>
              <a:chOff x="11422566" y="4341542"/>
              <a:chExt cx="2541545" cy="1121743"/>
            </a:xfrm>
          </xdr:grpSpPr>
          <xdr:sp macro="" textlink="">
            <xdr:nvSpPr>
              <xdr:cNvPr id="18" name="Rectangle: Rounded Corners 17">
                <a:extLst>
                  <a:ext uri="{FF2B5EF4-FFF2-40B4-BE49-F238E27FC236}">
                    <a16:creationId xmlns:a16="http://schemas.microsoft.com/office/drawing/2014/main" id="{84356B76-0AF9-2B9F-97CD-0AAB4F47FBC5}"/>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ysClr val="windowText" lastClr="000000"/>
                    </a:solidFill>
                  </a:rPr>
                  <a:t>Common Salary Band</a:t>
                </a:r>
              </a:p>
            </xdr:txBody>
          </xdr:sp>
          <xdr:sp macro="" textlink="'Deeper Pivot Analysis'!A42">
            <xdr:nvSpPr>
              <xdr:cNvPr id="20" name="TextBox 19">
                <a:extLst>
                  <a:ext uri="{FF2B5EF4-FFF2-40B4-BE49-F238E27FC236}">
                    <a16:creationId xmlns:a16="http://schemas.microsoft.com/office/drawing/2014/main" id="{656069F5-EE91-B257-27EB-7E2557BF1799}"/>
                  </a:ext>
                </a:extLst>
              </xdr:cNvPr>
              <xdr:cNvSpPr txBox="1"/>
            </xdr:nvSpPr>
            <xdr:spPr>
              <a:xfrm>
                <a:off x="12461421" y="4895386"/>
                <a:ext cx="1171914" cy="37170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96B651-E175-43E4-94A7-B6ED32F974D5}" type="TxLink">
                  <a:rPr lang="en-US" sz="2000" b="1" i="0" u="none" strike="noStrike">
                    <a:solidFill>
                      <a:srgbClr val="000000"/>
                    </a:solidFill>
                    <a:latin typeface="Aptos Narrow"/>
                  </a:rPr>
                  <a:pPr/>
                  <a:t>10K-20K</a:t>
                </a:fld>
                <a:endParaRPr lang="en-US" sz="2000" b="1"/>
              </a:p>
            </xdr:txBody>
          </xdr:sp>
        </xdr:grpSp>
        <xdr:pic>
          <xdr:nvPicPr>
            <xdr:cNvPr id="22" name="Picture 21">
              <a:extLst>
                <a:ext uri="{FF2B5EF4-FFF2-40B4-BE49-F238E27FC236}">
                  <a16:creationId xmlns:a16="http://schemas.microsoft.com/office/drawing/2014/main" id="{B174928B-533A-01D2-A484-6B45D09B616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217148" y="1605430"/>
              <a:ext cx="609598" cy="600634"/>
            </a:xfrm>
            <a:prstGeom prst="rect">
              <a:avLst/>
            </a:prstGeom>
          </xdr:spPr>
        </xdr:pic>
      </xdr:grpSp>
      <xdr:grpSp>
        <xdr:nvGrpSpPr>
          <xdr:cNvPr id="36" name="Group 35">
            <a:extLst>
              <a:ext uri="{FF2B5EF4-FFF2-40B4-BE49-F238E27FC236}">
                <a16:creationId xmlns:a16="http://schemas.microsoft.com/office/drawing/2014/main" id="{8AFCFDBE-FB4E-E614-C6DD-26D5D1863AC9}"/>
              </a:ext>
            </a:extLst>
          </xdr:cNvPr>
          <xdr:cNvGrpSpPr/>
        </xdr:nvGrpSpPr>
        <xdr:grpSpPr>
          <a:xfrm>
            <a:off x="16828554" y="1083633"/>
            <a:ext cx="2840942" cy="1261312"/>
            <a:chOff x="14594310" y="1051581"/>
            <a:chExt cx="2526943" cy="1261312"/>
          </a:xfrm>
        </xdr:grpSpPr>
        <xdr:grpSp>
          <xdr:nvGrpSpPr>
            <xdr:cNvPr id="6" name="Group 5">
              <a:extLst>
                <a:ext uri="{FF2B5EF4-FFF2-40B4-BE49-F238E27FC236}">
                  <a16:creationId xmlns:a16="http://schemas.microsoft.com/office/drawing/2014/main" id="{F33DE677-3CEC-375A-3FDD-56D0C9077771}"/>
                </a:ext>
              </a:extLst>
            </xdr:cNvPr>
            <xdr:cNvGrpSpPr/>
          </xdr:nvGrpSpPr>
          <xdr:grpSpPr>
            <a:xfrm>
              <a:off x="14594310" y="1051581"/>
              <a:ext cx="2526943" cy="1261312"/>
              <a:chOff x="11422566" y="4341542"/>
              <a:chExt cx="2541545" cy="1121743"/>
            </a:xfrm>
          </xdr:grpSpPr>
          <xdr:sp macro="" textlink="">
            <xdr:nvSpPr>
              <xdr:cNvPr id="21" name="Rectangle: Rounded Corners 20">
                <a:extLst>
                  <a:ext uri="{FF2B5EF4-FFF2-40B4-BE49-F238E27FC236}">
                    <a16:creationId xmlns:a16="http://schemas.microsoft.com/office/drawing/2014/main" id="{76465A78-BC9E-82D0-36EE-6B03FA08490A}"/>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  Avg</a:t>
                </a:r>
                <a:r>
                  <a:rPr lang="en-US" sz="2800" b="1">
                    <a:solidFill>
                      <a:schemeClr val="tx1"/>
                    </a:solidFill>
                  </a:rPr>
                  <a:t> </a:t>
                </a:r>
                <a:r>
                  <a:rPr lang="en-US" sz="2400" b="1">
                    <a:solidFill>
                      <a:schemeClr val="tx1"/>
                    </a:solidFill>
                  </a:rPr>
                  <a:t>Age</a:t>
                </a:r>
                <a:endParaRPr lang="en-US" sz="2800" b="1">
                  <a:solidFill>
                    <a:schemeClr val="tx1"/>
                  </a:solidFill>
                </a:endParaRPr>
              </a:p>
            </xdr:txBody>
          </xdr:sp>
          <xdr:sp macro="" textlink="'Deeper Pivot Analysis'!I41">
            <xdr:nvSpPr>
              <xdr:cNvPr id="23" name="TextBox 22">
                <a:extLst>
                  <a:ext uri="{FF2B5EF4-FFF2-40B4-BE49-F238E27FC236}">
                    <a16:creationId xmlns:a16="http://schemas.microsoft.com/office/drawing/2014/main" id="{3B0F1E92-1505-E244-4063-24B4AA064446}"/>
                  </a:ext>
                </a:extLst>
              </xdr:cNvPr>
              <xdr:cNvSpPr txBox="1"/>
            </xdr:nvSpPr>
            <xdr:spPr>
              <a:xfrm>
                <a:off x="12472405" y="4888710"/>
                <a:ext cx="1241503" cy="2843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6D51C5-4571-477F-948E-05A24C33C907}" type="TxLink">
                  <a:rPr lang="en-US" sz="2200" b="1" i="0" u="none" strike="noStrike">
                    <a:solidFill>
                      <a:srgbClr val="000000"/>
                    </a:solidFill>
                    <a:latin typeface="Aptos Narrow"/>
                  </a:rPr>
                  <a:pPr/>
                  <a:t>52</a:t>
                </a:fld>
                <a:endParaRPr lang="en-US" sz="2200" b="1"/>
              </a:p>
            </xdr:txBody>
          </xdr:sp>
        </xdr:grpSp>
        <xdr:pic>
          <xdr:nvPicPr>
            <xdr:cNvPr id="28" name="Picture 27">
              <a:extLst>
                <a:ext uri="{FF2B5EF4-FFF2-40B4-BE49-F238E27FC236}">
                  <a16:creationId xmlns:a16="http://schemas.microsoft.com/office/drawing/2014/main" id="{95E459F8-0D48-A602-20C5-1805F93209A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742459" y="1622613"/>
              <a:ext cx="575983" cy="567018"/>
            </a:xfrm>
            <a:prstGeom prst="rect">
              <a:avLst/>
            </a:prstGeom>
          </xdr:spPr>
        </xdr:pic>
      </xdr:grpSp>
      <xdr:grpSp>
        <xdr:nvGrpSpPr>
          <xdr:cNvPr id="38" name="Group 37">
            <a:extLst>
              <a:ext uri="{FF2B5EF4-FFF2-40B4-BE49-F238E27FC236}">
                <a16:creationId xmlns:a16="http://schemas.microsoft.com/office/drawing/2014/main" id="{1AF02BA6-F43E-FC94-713D-E1782272F0FD}"/>
              </a:ext>
            </a:extLst>
          </xdr:cNvPr>
          <xdr:cNvGrpSpPr/>
        </xdr:nvGrpSpPr>
        <xdr:grpSpPr>
          <a:xfrm>
            <a:off x="9601594" y="1091920"/>
            <a:ext cx="3245735" cy="1244738"/>
            <a:chOff x="8271542" y="1059868"/>
            <a:chExt cx="2886996" cy="1244738"/>
          </a:xfrm>
        </xdr:grpSpPr>
        <xdr:grpSp>
          <xdr:nvGrpSpPr>
            <xdr:cNvPr id="44" name="Group 43">
              <a:extLst>
                <a:ext uri="{FF2B5EF4-FFF2-40B4-BE49-F238E27FC236}">
                  <a16:creationId xmlns:a16="http://schemas.microsoft.com/office/drawing/2014/main" id="{99E8D00B-6A05-4B6F-AFCA-CD7B45D5C89F}"/>
                </a:ext>
              </a:extLst>
            </xdr:cNvPr>
            <xdr:cNvGrpSpPr/>
          </xdr:nvGrpSpPr>
          <xdr:grpSpPr>
            <a:xfrm>
              <a:off x="8271542" y="1059868"/>
              <a:ext cx="2886996" cy="1244738"/>
              <a:chOff x="11422566" y="4341542"/>
              <a:chExt cx="2541545" cy="1121743"/>
            </a:xfrm>
          </xdr:grpSpPr>
          <xdr:sp macro="" textlink="">
            <xdr:nvSpPr>
              <xdr:cNvPr id="45" name="Rectangle: Rounded Corners 44">
                <a:extLst>
                  <a:ext uri="{FF2B5EF4-FFF2-40B4-BE49-F238E27FC236}">
                    <a16:creationId xmlns:a16="http://schemas.microsoft.com/office/drawing/2014/main" id="{8DB445EC-0EB8-6B16-D380-8041E1EDB0D0}"/>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a:t>
                </a:r>
                <a:r>
                  <a:rPr lang="en-US" sz="2400" b="1" baseline="0">
                    <a:solidFill>
                      <a:schemeClr val="tx1"/>
                    </a:solidFill>
                  </a:rPr>
                  <a:t> Low Performers</a:t>
                </a:r>
                <a:endParaRPr lang="en-US" sz="2800" b="1">
                  <a:solidFill>
                    <a:schemeClr val="tx1"/>
                  </a:solidFill>
                </a:endParaRPr>
              </a:p>
            </xdr:txBody>
          </xdr:sp>
          <xdr:sp macro="" textlink="'Deeper Pivot Analysis'!B38">
            <xdr:nvSpPr>
              <xdr:cNvPr id="47" name="TextBox 46">
                <a:extLst>
                  <a:ext uri="{FF2B5EF4-FFF2-40B4-BE49-F238E27FC236}">
                    <a16:creationId xmlns:a16="http://schemas.microsoft.com/office/drawing/2014/main" id="{6892EBEF-5EFA-8345-CCDF-237A626FA346}"/>
                  </a:ext>
                </a:extLst>
              </xdr:cNvPr>
              <xdr:cNvSpPr txBox="1"/>
            </xdr:nvSpPr>
            <xdr:spPr>
              <a:xfrm>
                <a:off x="12668886" y="4910251"/>
                <a:ext cx="1241503" cy="2843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91FED2-EA87-4442-A3CF-37C0C619C385}" type="TxLink">
                  <a:rPr lang="en-US" sz="2200" b="1" i="0" u="none" strike="noStrike">
                    <a:solidFill>
                      <a:srgbClr val="000000"/>
                    </a:solidFill>
                    <a:latin typeface="Aptos Narrow"/>
                  </a:rPr>
                  <a:pPr/>
                  <a:t>63%</a:t>
                </a:fld>
                <a:endParaRPr lang="en-US" sz="2200" b="1"/>
              </a:p>
            </xdr:txBody>
          </xdr:sp>
        </xdr:grpSp>
        <xdr:pic>
          <xdr:nvPicPr>
            <xdr:cNvPr id="30" name="Picture 29">
              <a:extLst>
                <a:ext uri="{FF2B5EF4-FFF2-40B4-BE49-F238E27FC236}">
                  <a16:creationId xmlns:a16="http://schemas.microsoft.com/office/drawing/2014/main" id="{0CF1DF79-95C3-44BE-96E5-9C01A4E7230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rot="9588492">
              <a:off x="8301997" y="1670897"/>
              <a:ext cx="619755" cy="610791"/>
            </a:xfrm>
            <a:prstGeom prst="rect">
              <a:avLst/>
            </a:prstGeom>
          </xdr:spPr>
        </xdr:pic>
      </xdr:grpSp>
    </xdr:grpSp>
    <xdr:clientData/>
  </xdr:twoCellAnchor>
  <xdr:twoCellAnchor>
    <xdr:from>
      <xdr:col>0</xdr:col>
      <xdr:colOff>97051</xdr:colOff>
      <xdr:row>18</xdr:row>
      <xdr:rowOff>126999</xdr:rowOff>
    </xdr:from>
    <xdr:to>
      <xdr:col>38</xdr:col>
      <xdr:colOff>368300</xdr:colOff>
      <xdr:row>48</xdr:row>
      <xdr:rowOff>38099</xdr:rowOff>
    </xdr:to>
    <xdr:grpSp>
      <xdr:nvGrpSpPr>
        <xdr:cNvPr id="54" name="Group 53">
          <a:extLst>
            <a:ext uri="{FF2B5EF4-FFF2-40B4-BE49-F238E27FC236}">
              <a16:creationId xmlns:a16="http://schemas.microsoft.com/office/drawing/2014/main" id="{E883DF5C-E63E-5501-961A-74EA0CDE4F8B}"/>
            </a:ext>
          </a:extLst>
        </xdr:cNvPr>
        <xdr:cNvGrpSpPr/>
      </xdr:nvGrpSpPr>
      <xdr:grpSpPr>
        <a:xfrm>
          <a:off x="97051" y="3327399"/>
          <a:ext cx="23436049" cy="5245100"/>
          <a:chOff x="109751" y="3467099"/>
          <a:chExt cx="23436049" cy="5245100"/>
        </a:xfrm>
      </xdr:grpSpPr>
      <xdr:graphicFrame macro="">
        <xdr:nvGraphicFramePr>
          <xdr:cNvPr id="31" name="Chart 30">
            <a:extLst>
              <a:ext uri="{FF2B5EF4-FFF2-40B4-BE49-F238E27FC236}">
                <a16:creationId xmlns:a16="http://schemas.microsoft.com/office/drawing/2014/main" id="{1FA2FD7F-26E1-4A30-98FF-BE50B94AB14F}"/>
              </a:ext>
            </a:extLst>
          </xdr:cNvPr>
          <xdr:cNvGraphicFramePr>
            <a:graphicFrameLocks/>
          </xdr:cNvGraphicFramePr>
        </xdr:nvGraphicFramePr>
        <xdr:xfrm>
          <a:off x="7454837" y="3467099"/>
          <a:ext cx="4229100" cy="52451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2" name="Chart 31">
            <a:extLst>
              <a:ext uri="{FF2B5EF4-FFF2-40B4-BE49-F238E27FC236}">
                <a16:creationId xmlns:a16="http://schemas.microsoft.com/office/drawing/2014/main" id="{9A0B5210-B496-4B01-AAEE-76CAB8542E75}"/>
              </a:ext>
            </a:extLst>
          </xdr:cNvPr>
          <xdr:cNvGraphicFramePr>
            <a:graphicFrameLocks/>
          </xdr:cNvGraphicFramePr>
        </xdr:nvGraphicFramePr>
        <xdr:xfrm>
          <a:off x="109751" y="3479800"/>
          <a:ext cx="7230849" cy="5232399"/>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4" name="Chart 33">
            <a:extLst>
              <a:ext uri="{FF2B5EF4-FFF2-40B4-BE49-F238E27FC236}">
                <a16:creationId xmlns:a16="http://schemas.microsoft.com/office/drawing/2014/main" id="{350C41A8-92E4-490A-84DC-1B77C56809F3}"/>
              </a:ext>
            </a:extLst>
          </xdr:cNvPr>
          <xdr:cNvGraphicFramePr>
            <a:graphicFrameLocks/>
          </xdr:cNvGraphicFramePr>
        </xdr:nvGraphicFramePr>
        <xdr:xfrm>
          <a:off x="11798174" y="3505199"/>
          <a:ext cx="4622989" cy="520700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53" name="Chart 52">
            <a:extLst>
              <a:ext uri="{FF2B5EF4-FFF2-40B4-BE49-F238E27FC236}">
                <a16:creationId xmlns:a16="http://schemas.microsoft.com/office/drawing/2014/main" id="{BF7E6778-9254-4D22-A981-4BCE4C88EBF3}"/>
              </a:ext>
            </a:extLst>
          </xdr:cNvPr>
          <xdr:cNvGraphicFramePr>
            <a:graphicFrameLocks/>
          </xdr:cNvGraphicFramePr>
        </xdr:nvGraphicFramePr>
        <xdr:xfrm>
          <a:off x="16535400" y="3505199"/>
          <a:ext cx="7010400" cy="520700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0</xdr:col>
      <xdr:colOff>127000</xdr:colOff>
      <xdr:row>13</xdr:row>
      <xdr:rowOff>98686</xdr:rowOff>
    </xdr:from>
    <xdr:to>
      <xdr:col>38</xdr:col>
      <xdr:colOff>479164</xdr:colOff>
      <xdr:row>17</xdr:row>
      <xdr:rowOff>119006</xdr:rowOff>
    </xdr:to>
    <xdr:grpSp>
      <xdr:nvGrpSpPr>
        <xdr:cNvPr id="12" name="Group 11">
          <a:extLst>
            <a:ext uri="{FF2B5EF4-FFF2-40B4-BE49-F238E27FC236}">
              <a16:creationId xmlns:a16="http://schemas.microsoft.com/office/drawing/2014/main" id="{59B0E8A0-AF68-51E0-B5DD-46C7F0FCB9C8}"/>
            </a:ext>
          </a:extLst>
        </xdr:cNvPr>
        <xdr:cNvGrpSpPr/>
      </xdr:nvGrpSpPr>
      <xdr:grpSpPr>
        <a:xfrm>
          <a:off x="127000" y="2410086"/>
          <a:ext cx="23516964" cy="731520"/>
          <a:chOff x="241300" y="2435486"/>
          <a:chExt cx="23516964" cy="731520"/>
        </a:xfrm>
      </xdr:grpSpPr>
      <mc:AlternateContent xmlns:mc="http://schemas.openxmlformats.org/markup-compatibility/2006">
        <mc:Choice xmlns:a14="http://schemas.microsoft.com/office/drawing/2010/main" Requires="a14">
          <xdr:graphicFrame macro="">
            <xdr:nvGraphicFramePr>
              <xdr:cNvPr id="3" name="الموقع 1">
                <a:extLst>
                  <a:ext uri="{FF2B5EF4-FFF2-40B4-BE49-F238E27FC236}">
                    <a16:creationId xmlns:a16="http://schemas.microsoft.com/office/drawing/2014/main" id="{E0C1FC47-5237-425A-83D3-BDC4642C55F3}"/>
                  </a:ext>
                </a:extLst>
              </xdr:cNvPr>
              <xdr:cNvGraphicFramePr/>
            </xdr:nvGraphicFramePr>
            <xdr:xfrm>
              <a:off x="6436061" y="2435486"/>
              <a:ext cx="5212080" cy="731520"/>
            </xdr:xfrm>
            <a:graphic>
              <a:graphicData uri="http://schemas.microsoft.com/office/drawing/2010/slicer">
                <sle:slicer xmlns:sle="http://schemas.microsoft.com/office/drawing/2010/slicer" name="الموقع 1"/>
              </a:graphicData>
            </a:graphic>
          </xdr:graphicFrame>
        </mc:Choice>
        <mc:Fallback>
          <xdr:sp macro="" textlink="">
            <xdr:nvSpPr>
              <xdr:cNvPr id="0" name=""/>
              <xdr:cNvSpPr>
                <a:spLocks noTextEdit="1"/>
              </xdr:cNvSpPr>
            </xdr:nvSpPr>
            <xdr:spPr>
              <a:xfrm>
                <a:off x="6321761" y="2410086"/>
                <a:ext cx="521208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Salary Range">
                <a:extLst>
                  <a:ext uri="{FF2B5EF4-FFF2-40B4-BE49-F238E27FC236}">
                    <a16:creationId xmlns:a16="http://schemas.microsoft.com/office/drawing/2014/main" id="{E048F8FD-D957-4908-B615-CB387089581D}"/>
                  </a:ext>
                </a:extLst>
              </xdr:cNvPr>
              <xdr:cNvGraphicFramePr/>
            </xdr:nvGraphicFramePr>
            <xdr:xfrm>
              <a:off x="241300" y="2435486"/>
              <a:ext cx="5212080" cy="731520"/>
            </xdr:xfrm>
            <a:graphic>
              <a:graphicData uri="http://schemas.microsoft.com/office/drawing/2010/slicer">
                <sle:slicer xmlns:sle="http://schemas.microsoft.com/office/drawing/2010/slicer" name="Salary Range"/>
              </a:graphicData>
            </a:graphic>
          </xdr:graphicFrame>
        </mc:Choice>
        <mc:Fallback>
          <xdr:sp macro="" textlink="">
            <xdr:nvSpPr>
              <xdr:cNvPr id="0" name=""/>
              <xdr:cNvSpPr>
                <a:spLocks noTextEdit="1"/>
              </xdr:cNvSpPr>
            </xdr:nvSpPr>
            <xdr:spPr>
              <a:xfrm>
                <a:off x="127000" y="2410086"/>
                <a:ext cx="521208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Experience Range">
                <a:extLst>
                  <a:ext uri="{FF2B5EF4-FFF2-40B4-BE49-F238E27FC236}">
                    <a16:creationId xmlns:a16="http://schemas.microsoft.com/office/drawing/2014/main" id="{55AECBCA-AC0E-4AB2-A40A-093E6C67247F}"/>
                  </a:ext>
                </a:extLst>
              </xdr:cNvPr>
              <xdr:cNvGraphicFramePr/>
            </xdr:nvGraphicFramePr>
            <xdr:xfrm>
              <a:off x="18546184" y="2435486"/>
              <a:ext cx="5212080" cy="731520"/>
            </xdr:xfrm>
            <a:graphic>
              <a:graphicData uri="http://schemas.microsoft.com/office/drawing/2010/slicer">
                <sle:slicer xmlns:sle="http://schemas.microsoft.com/office/drawing/2010/slicer" name="Experience Range"/>
              </a:graphicData>
            </a:graphic>
          </xdr:graphicFrame>
        </mc:Choice>
        <mc:Fallback>
          <xdr:sp macro="" textlink="">
            <xdr:nvSpPr>
              <xdr:cNvPr id="0" name=""/>
              <xdr:cNvSpPr>
                <a:spLocks noTextEdit="1"/>
              </xdr:cNvSpPr>
            </xdr:nvSpPr>
            <xdr:spPr>
              <a:xfrm>
                <a:off x="18431884" y="2410086"/>
                <a:ext cx="521208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Experience Category">
                <a:extLst>
                  <a:ext uri="{FF2B5EF4-FFF2-40B4-BE49-F238E27FC236}">
                    <a16:creationId xmlns:a16="http://schemas.microsoft.com/office/drawing/2014/main" id="{53CA6023-C449-40C9-8D8B-EFF91F3D6CE9}"/>
                  </a:ext>
                </a:extLst>
              </xdr:cNvPr>
              <xdr:cNvGraphicFramePr/>
            </xdr:nvGraphicFramePr>
            <xdr:xfrm>
              <a:off x="12630822" y="2435486"/>
              <a:ext cx="5212080" cy="731520"/>
            </xdr:xfrm>
            <a:graphic>
              <a:graphicData uri="http://schemas.microsoft.com/office/drawing/2010/slicer">
                <sle:slicer xmlns:sle="http://schemas.microsoft.com/office/drawing/2010/slicer" name="Experience Category"/>
              </a:graphicData>
            </a:graphic>
          </xdr:graphicFrame>
        </mc:Choice>
        <mc:Fallback>
          <xdr:sp macro="" textlink="">
            <xdr:nvSpPr>
              <xdr:cNvPr id="0" name=""/>
              <xdr:cNvSpPr>
                <a:spLocks noTextEdit="1"/>
              </xdr:cNvSpPr>
            </xdr:nvSpPr>
            <xdr:spPr>
              <a:xfrm>
                <a:off x="12516522" y="2410086"/>
                <a:ext cx="521208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65051</xdr:colOff>
      <xdr:row>0</xdr:row>
      <xdr:rowOff>102221</xdr:rowOff>
    </xdr:from>
    <xdr:to>
      <xdr:col>34</xdr:col>
      <xdr:colOff>123265</xdr:colOff>
      <xdr:row>5</xdr:row>
      <xdr:rowOff>87085</xdr:rowOff>
    </xdr:to>
    <xdr:sp macro="" textlink="">
      <xdr:nvSpPr>
        <xdr:cNvPr id="10" name="TextBox 9">
          <a:extLst>
            <a:ext uri="{FF2B5EF4-FFF2-40B4-BE49-F238E27FC236}">
              <a16:creationId xmlns:a16="http://schemas.microsoft.com/office/drawing/2014/main" id="{9B0BB1AA-7ADB-C0F2-699B-77AAADC76B12}"/>
            </a:ext>
          </a:extLst>
        </xdr:cNvPr>
        <xdr:cNvSpPr txBox="1"/>
      </xdr:nvSpPr>
      <xdr:spPr>
        <a:xfrm>
          <a:off x="65051" y="102221"/>
          <a:ext cx="20632214" cy="881335"/>
        </a:xfrm>
        <a:prstGeom prst="rect">
          <a:avLst/>
        </a:prstGeom>
        <a:solidFill>
          <a:schemeClr val="bg1">
            <a:lumMod val="95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a:solidFill>
                <a:schemeClr val="dk1"/>
              </a:solidFill>
              <a:effectLst/>
              <a:latin typeface="+mn-lt"/>
              <a:ea typeface="+mn-ea"/>
              <a:cs typeface="+mn-cs"/>
            </a:rPr>
            <a:t>HR Performance &amp; Payroll Dashboard–2019/2020</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tx1"/>
              </a:solidFill>
              <a:effectLst/>
              <a:latin typeface="+mn-lt"/>
              <a:ea typeface="+mn-ea"/>
              <a:cs typeface="+mn-cs"/>
            </a:rPr>
            <a:t>Summary by Location, Department, and Job Title</a:t>
          </a:r>
          <a:endParaRPr lang="en-US" sz="4400" b="1">
            <a:solidFill>
              <a:schemeClr val="tx1"/>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3200">
            <a:effectLst/>
          </a:endParaRPr>
        </a:p>
        <a:p>
          <a:pPr algn="ctr"/>
          <a:endParaRPr lang="en-US" sz="4800"/>
        </a:p>
      </xdr:txBody>
    </xdr:sp>
    <xdr:clientData/>
  </xdr:twoCellAnchor>
  <xdr:twoCellAnchor>
    <xdr:from>
      <xdr:col>8</xdr:col>
      <xdr:colOff>267</xdr:colOff>
      <xdr:row>6</xdr:row>
      <xdr:rowOff>5312</xdr:rowOff>
    </xdr:from>
    <xdr:to>
      <xdr:col>33</xdr:col>
      <xdr:colOff>347382</xdr:colOff>
      <xdr:row>11</xdr:row>
      <xdr:rowOff>163286</xdr:rowOff>
    </xdr:to>
    <xdr:grpSp>
      <xdr:nvGrpSpPr>
        <xdr:cNvPr id="72" name="Group 71">
          <a:extLst>
            <a:ext uri="{FF2B5EF4-FFF2-40B4-BE49-F238E27FC236}">
              <a16:creationId xmlns:a16="http://schemas.microsoft.com/office/drawing/2014/main" id="{E4110891-609A-B30D-1FF4-C4CE8167A28D}"/>
            </a:ext>
          </a:extLst>
        </xdr:cNvPr>
        <xdr:cNvGrpSpPr/>
      </xdr:nvGrpSpPr>
      <xdr:grpSpPr>
        <a:xfrm>
          <a:off x="4841208" y="1081077"/>
          <a:ext cx="15475056" cy="1054444"/>
          <a:chOff x="1839953" y="974141"/>
          <a:chExt cx="15588605" cy="1083260"/>
        </a:xfrm>
      </xdr:grpSpPr>
      <xdr:grpSp>
        <xdr:nvGrpSpPr>
          <xdr:cNvPr id="42" name="Group 41">
            <a:extLst>
              <a:ext uri="{FF2B5EF4-FFF2-40B4-BE49-F238E27FC236}">
                <a16:creationId xmlns:a16="http://schemas.microsoft.com/office/drawing/2014/main" id="{4B0C6D46-9E9F-0E8E-47D9-DFB74B27FFA8}"/>
              </a:ext>
            </a:extLst>
          </xdr:cNvPr>
          <xdr:cNvGrpSpPr/>
        </xdr:nvGrpSpPr>
        <xdr:grpSpPr>
          <a:xfrm>
            <a:off x="1839953" y="974141"/>
            <a:ext cx="2526676" cy="1083260"/>
            <a:chOff x="11422566" y="4341542"/>
            <a:chExt cx="2541545" cy="1121743"/>
          </a:xfrm>
        </xdr:grpSpPr>
        <xdr:sp macro="" textlink="">
          <xdr:nvSpPr>
            <xdr:cNvPr id="25" name="Rectangle: Rounded Corners 24">
              <a:extLst>
                <a:ext uri="{FF2B5EF4-FFF2-40B4-BE49-F238E27FC236}">
                  <a16:creationId xmlns:a16="http://schemas.microsoft.com/office/drawing/2014/main" id="{0532AFC9-06F3-402B-9237-406657D684ED}"/>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  Min</a:t>
              </a:r>
              <a:r>
                <a:rPr lang="en-US" sz="2800" b="1">
                  <a:solidFill>
                    <a:schemeClr val="tx1"/>
                  </a:solidFill>
                </a:rPr>
                <a:t> </a:t>
              </a:r>
              <a:r>
                <a:rPr lang="en-US" sz="2400" b="1">
                  <a:solidFill>
                    <a:schemeClr val="tx1"/>
                  </a:solidFill>
                </a:rPr>
                <a:t>Salary</a:t>
              </a:r>
              <a:endParaRPr lang="en-US" sz="2800" b="1">
                <a:solidFill>
                  <a:schemeClr val="tx1"/>
                </a:solidFill>
              </a:endParaRPr>
            </a:p>
          </xdr:txBody>
        </xdr:sp>
        <xdr:pic>
          <xdr:nvPicPr>
            <xdr:cNvPr id="33" name="Picture 32">
              <a:extLst>
                <a:ext uri="{FF2B5EF4-FFF2-40B4-BE49-F238E27FC236}">
                  <a16:creationId xmlns:a16="http://schemas.microsoft.com/office/drawing/2014/main" id="{21C18301-7180-4A94-BDED-CA4164222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08059" y="4947424"/>
              <a:ext cx="418171" cy="418171"/>
            </a:xfrm>
            <a:prstGeom prst="rect">
              <a:avLst/>
            </a:prstGeom>
          </xdr:spPr>
        </xdr:pic>
        <xdr:sp macro="" textlink="'Pivot Tables Analysis'!A6">
          <xdr:nvSpPr>
            <xdr:cNvPr id="37" name="TextBox 36">
              <a:extLst>
                <a:ext uri="{FF2B5EF4-FFF2-40B4-BE49-F238E27FC236}">
                  <a16:creationId xmlns:a16="http://schemas.microsoft.com/office/drawing/2014/main" id="{46907935-87D2-4F4F-83D5-77C6166674CB}"/>
                </a:ext>
              </a:extLst>
            </xdr:cNvPr>
            <xdr:cNvSpPr txBox="1"/>
          </xdr:nvSpPr>
          <xdr:spPr>
            <a:xfrm>
              <a:off x="12381569" y="4938130"/>
              <a:ext cx="1241503" cy="2843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1EF1E3-D16D-43E3-88A5-A55A96F95397}" type="TxLink">
                <a:rPr lang="en-US" sz="2000" b="1" i="0" u="none" strike="noStrike">
                  <a:solidFill>
                    <a:srgbClr val="000000"/>
                  </a:solidFill>
                  <a:latin typeface="Aptos Narrow"/>
                </a:rPr>
                <a:pPr/>
                <a:t> $1,428 </a:t>
              </a:fld>
              <a:endParaRPr lang="en-US" sz="2000" b="1"/>
            </a:p>
          </xdr:txBody>
        </xdr:sp>
      </xdr:grpSp>
      <xdr:grpSp>
        <xdr:nvGrpSpPr>
          <xdr:cNvPr id="43" name="Group 42">
            <a:extLst>
              <a:ext uri="{FF2B5EF4-FFF2-40B4-BE49-F238E27FC236}">
                <a16:creationId xmlns:a16="http://schemas.microsoft.com/office/drawing/2014/main" id="{D7D00779-DB5A-43F3-BD3B-0795DCB95599}"/>
              </a:ext>
            </a:extLst>
          </xdr:cNvPr>
          <xdr:cNvGrpSpPr/>
        </xdr:nvGrpSpPr>
        <xdr:grpSpPr>
          <a:xfrm>
            <a:off x="4412167" y="974539"/>
            <a:ext cx="2526677" cy="1082465"/>
            <a:chOff x="11422566" y="4341542"/>
            <a:chExt cx="2541545" cy="1121743"/>
          </a:xfrm>
        </xdr:grpSpPr>
        <xdr:sp macro="" textlink="">
          <xdr:nvSpPr>
            <xdr:cNvPr id="44" name="Rectangle: Rounded Corners 43">
              <a:extLst>
                <a:ext uri="{FF2B5EF4-FFF2-40B4-BE49-F238E27FC236}">
                  <a16:creationId xmlns:a16="http://schemas.microsoft.com/office/drawing/2014/main" id="{C594FCA7-0AAA-4B89-4843-B457B7157C35}"/>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   Max</a:t>
              </a:r>
              <a:r>
                <a:rPr lang="en-US" sz="2800" b="1">
                  <a:solidFill>
                    <a:schemeClr val="tx1"/>
                  </a:solidFill>
                </a:rPr>
                <a:t> </a:t>
              </a:r>
              <a:r>
                <a:rPr lang="en-US" sz="2400" b="1">
                  <a:solidFill>
                    <a:schemeClr val="tx1"/>
                  </a:solidFill>
                </a:rPr>
                <a:t>Salary</a:t>
              </a:r>
              <a:endParaRPr lang="en-US" sz="2800" b="1">
                <a:solidFill>
                  <a:schemeClr val="tx1"/>
                </a:solidFill>
              </a:endParaRPr>
            </a:p>
          </xdr:txBody>
        </xdr:sp>
        <xdr:pic>
          <xdr:nvPicPr>
            <xdr:cNvPr id="45" name="Picture 44">
              <a:extLst>
                <a:ext uri="{FF2B5EF4-FFF2-40B4-BE49-F238E27FC236}">
                  <a16:creationId xmlns:a16="http://schemas.microsoft.com/office/drawing/2014/main" id="{BF1B87A0-ED67-9D61-878A-CD417E7EF1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08059" y="4947424"/>
              <a:ext cx="418171" cy="418171"/>
            </a:xfrm>
            <a:prstGeom prst="rect">
              <a:avLst/>
            </a:prstGeom>
          </xdr:spPr>
        </xdr:pic>
        <xdr:sp macro="" textlink="'Pivot Tables Analysis'!B6">
          <xdr:nvSpPr>
            <xdr:cNvPr id="46" name="TextBox 45">
              <a:extLst>
                <a:ext uri="{FF2B5EF4-FFF2-40B4-BE49-F238E27FC236}">
                  <a16:creationId xmlns:a16="http://schemas.microsoft.com/office/drawing/2014/main" id="{B6281B76-4EDD-5D64-39F3-873A66E978AD}"/>
                </a:ext>
              </a:extLst>
            </xdr:cNvPr>
            <xdr:cNvSpPr txBox="1"/>
          </xdr:nvSpPr>
          <xdr:spPr>
            <a:xfrm>
              <a:off x="12251471" y="4910251"/>
              <a:ext cx="1241503" cy="2843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311EB5-D9EB-49AC-894D-46AC4396D6C8}" type="TxLink">
                <a:rPr lang="en-US" sz="2000" b="1" i="0" u="none" strike="noStrike">
                  <a:solidFill>
                    <a:srgbClr val="000000"/>
                  </a:solidFill>
                  <a:latin typeface="Aptos Narrow"/>
                </a:rPr>
                <a:pPr/>
                <a:t> $35,000 </a:t>
              </a:fld>
              <a:endParaRPr lang="en-US" sz="4000" b="1"/>
            </a:p>
          </xdr:txBody>
        </xdr:sp>
      </xdr:grpSp>
      <xdr:grpSp>
        <xdr:nvGrpSpPr>
          <xdr:cNvPr id="47" name="Group 46">
            <a:extLst>
              <a:ext uri="{FF2B5EF4-FFF2-40B4-BE49-F238E27FC236}">
                <a16:creationId xmlns:a16="http://schemas.microsoft.com/office/drawing/2014/main" id="{54A279BA-22A8-4ADF-AC1B-060E7CB83EE8}"/>
              </a:ext>
            </a:extLst>
          </xdr:cNvPr>
          <xdr:cNvGrpSpPr/>
        </xdr:nvGrpSpPr>
        <xdr:grpSpPr>
          <a:xfrm>
            <a:off x="6984382" y="974539"/>
            <a:ext cx="2526677" cy="1082465"/>
            <a:chOff x="11422566" y="4341542"/>
            <a:chExt cx="2541545" cy="1121743"/>
          </a:xfrm>
        </xdr:grpSpPr>
        <xdr:sp macro="" textlink="">
          <xdr:nvSpPr>
            <xdr:cNvPr id="48" name="Rectangle: Rounded Corners 47">
              <a:extLst>
                <a:ext uri="{FF2B5EF4-FFF2-40B4-BE49-F238E27FC236}">
                  <a16:creationId xmlns:a16="http://schemas.microsoft.com/office/drawing/2014/main" id="{9070768D-F17D-DDC5-62D4-372CEFE2B6A3}"/>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  Avg</a:t>
              </a:r>
              <a:r>
                <a:rPr lang="en-US" sz="2800" b="1">
                  <a:solidFill>
                    <a:schemeClr val="tx1"/>
                  </a:solidFill>
                </a:rPr>
                <a:t> </a:t>
              </a:r>
              <a:r>
                <a:rPr lang="en-US" sz="2400" b="1">
                  <a:solidFill>
                    <a:schemeClr val="tx1"/>
                  </a:solidFill>
                </a:rPr>
                <a:t>Salary</a:t>
              </a:r>
              <a:endParaRPr lang="en-US" sz="2800" b="1">
                <a:solidFill>
                  <a:schemeClr val="tx1"/>
                </a:solidFill>
              </a:endParaRPr>
            </a:p>
          </xdr:txBody>
        </xdr:sp>
        <xdr:pic>
          <xdr:nvPicPr>
            <xdr:cNvPr id="49" name="Picture 48">
              <a:extLst>
                <a:ext uri="{FF2B5EF4-FFF2-40B4-BE49-F238E27FC236}">
                  <a16:creationId xmlns:a16="http://schemas.microsoft.com/office/drawing/2014/main" id="{E42E6220-7573-185F-6696-FD09A1F4E5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08059" y="4947424"/>
              <a:ext cx="418171" cy="418171"/>
            </a:xfrm>
            <a:prstGeom prst="rect">
              <a:avLst/>
            </a:prstGeom>
          </xdr:spPr>
        </xdr:pic>
        <xdr:sp macro="" textlink="'Pivot Tables Analysis'!C6">
          <xdr:nvSpPr>
            <xdr:cNvPr id="50" name="TextBox 49">
              <a:extLst>
                <a:ext uri="{FF2B5EF4-FFF2-40B4-BE49-F238E27FC236}">
                  <a16:creationId xmlns:a16="http://schemas.microsoft.com/office/drawing/2014/main" id="{2D207353-4A18-C764-D993-7E38396546C6}"/>
                </a:ext>
              </a:extLst>
            </xdr:cNvPr>
            <xdr:cNvSpPr txBox="1"/>
          </xdr:nvSpPr>
          <xdr:spPr>
            <a:xfrm>
              <a:off x="12381569" y="4938130"/>
              <a:ext cx="1241503" cy="2843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6DAC7F-93A8-46EA-B416-369F571C8987}" type="TxLink">
                <a:rPr lang="en-US" sz="2000" b="1" i="0" u="none" strike="noStrike">
                  <a:solidFill>
                    <a:srgbClr val="000000"/>
                  </a:solidFill>
                  <a:latin typeface="Aptos Narrow"/>
                </a:rPr>
                <a:pPr/>
                <a:t> $13,283 </a:t>
              </a:fld>
              <a:endParaRPr lang="en-US" sz="4000" b="1"/>
            </a:p>
          </xdr:txBody>
        </xdr:sp>
      </xdr:grpSp>
      <xdr:grpSp>
        <xdr:nvGrpSpPr>
          <xdr:cNvPr id="51" name="Group 50">
            <a:extLst>
              <a:ext uri="{FF2B5EF4-FFF2-40B4-BE49-F238E27FC236}">
                <a16:creationId xmlns:a16="http://schemas.microsoft.com/office/drawing/2014/main" id="{C154BE27-5543-4C90-8D48-A6B7A7C2862C}"/>
              </a:ext>
            </a:extLst>
          </xdr:cNvPr>
          <xdr:cNvGrpSpPr/>
        </xdr:nvGrpSpPr>
        <xdr:grpSpPr>
          <a:xfrm>
            <a:off x="9556597" y="974539"/>
            <a:ext cx="2526677" cy="1082465"/>
            <a:chOff x="11422566" y="4341542"/>
            <a:chExt cx="2541545" cy="1121743"/>
          </a:xfrm>
        </xdr:grpSpPr>
        <xdr:sp macro="" textlink="">
          <xdr:nvSpPr>
            <xdr:cNvPr id="52" name="Rectangle: Rounded Corners 51">
              <a:extLst>
                <a:ext uri="{FF2B5EF4-FFF2-40B4-BE49-F238E27FC236}">
                  <a16:creationId xmlns:a16="http://schemas.microsoft.com/office/drawing/2014/main" id="{6309E2B2-ED68-FBFC-32E0-F60F149C9941}"/>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  Total</a:t>
              </a:r>
              <a:r>
                <a:rPr lang="en-US" sz="2800" b="1">
                  <a:solidFill>
                    <a:schemeClr val="tx1"/>
                  </a:solidFill>
                </a:rPr>
                <a:t> </a:t>
              </a:r>
              <a:r>
                <a:rPr lang="en-US" sz="2400" b="1">
                  <a:solidFill>
                    <a:schemeClr val="tx1"/>
                  </a:solidFill>
                </a:rPr>
                <a:t>Salaries</a:t>
              </a:r>
              <a:endParaRPr lang="en-US" sz="2800" b="1">
                <a:solidFill>
                  <a:schemeClr val="tx1"/>
                </a:solidFill>
              </a:endParaRPr>
            </a:p>
          </xdr:txBody>
        </xdr:sp>
        <xdr:pic>
          <xdr:nvPicPr>
            <xdr:cNvPr id="53" name="Picture 52">
              <a:extLst>
                <a:ext uri="{FF2B5EF4-FFF2-40B4-BE49-F238E27FC236}">
                  <a16:creationId xmlns:a16="http://schemas.microsoft.com/office/drawing/2014/main" id="{EEB64B06-E5D1-CFE7-523D-FEBD52C274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08059" y="4947424"/>
              <a:ext cx="418171" cy="418171"/>
            </a:xfrm>
            <a:prstGeom prst="rect">
              <a:avLst/>
            </a:prstGeom>
          </xdr:spPr>
        </xdr:pic>
        <xdr:sp macro="" textlink="'Pivot Tables Analysis'!D6">
          <xdr:nvSpPr>
            <xdr:cNvPr id="54" name="TextBox 53">
              <a:extLst>
                <a:ext uri="{FF2B5EF4-FFF2-40B4-BE49-F238E27FC236}">
                  <a16:creationId xmlns:a16="http://schemas.microsoft.com/office/drawing/2014/main" id="{58C2E162-51C8-9A9D-3659-9388061E7454}"/>
                </a:ext>
              </a:extLst>
            </xdr:cNvPr>
            <xdr:cNvSpPr txBox="1"/>
          </xdr:nvSpPr>
          <xdr:spPr>
            <a:xfrm>
              <a:off x="12134385" y="4895386"/>
              <a:ext cx="1507273" cy="37170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AF0469-107B-4522-AC17-5445F71D6CF5}" type="TxLink">
                <a:rPr lang="en-US" sz="2000" b="1" i="0" u="none" strike="noStrike">
                  <a:solidFill>
                    <a:srgbClr val="000000"/>
                  </a:solidFill>
                  <a:latin typeface="Aptos Narrow"/>
                </a:rPr>
                <a:pPr/>
                <a:t> $1,248,578 </a:t>
              </a:fld>
              <a:endParaRPr lang="en-US" sz="4000" b="1"/>
            </a:p>
          </xdr:txBody>
        </xdr:sp>
      </xdr:grpSp>
      <xdr:grpSp>
        <xdr:nvGrpSpPr>
          <xdr:cNvPr id="68" name="Group 67">
            <a:extLst>
              <a:ext uri="{FF2B5EF4-FFF2-40B4-BE49-F238E27FC236}">
                <a16:creationId xmlns:a16="http://schemas.microsoft.com/office/drawing/2014/main" id="{9D255FEE-55A7-544A-FA18-11B84FAD6992}"/>
              </a:ext>
            </a:extLst>
          </xdr:cNvPr>
          <xdr:cNvGrpSpPr/>
        </xdr:nvGrpSpPr>
        <xdr:grpSpPr>
          <a:xfrm>
            <a:off x="14697306" y="974539"/>
            <a:ext cx="2731252" cy="1082465"/>
            <a:chOff x="14786517" y="977590"/>
            <a:chExt cx="2747324" cy="1121743"/>
          </a:xfrm>
        </xdr:grpSpPr>
        <xdr:grpSp>
          <xdr:nvGrpSpPr>
            <xdr:cNvPr id="59" name="Group 58">
              <a:extLst>
                <a:ext uri="{FF2B5EF4-FFF2-40B4-BE49-F238E27FC236}">
                  <a16:creationId xmlns:a16="http://schemas.microsoft.com/office/drawing/2014/main" id="{B531F5A4-09E2-4DFC-B0FB-D587A71D1905}"/>
                </a:ext>
              </a:extLst>
            </xdr:cNvPr>
            <xdr:cNvGrpSpPr/>
          </xdr:nvGrpSpPr>
          <xdr:grpSpPr>
            <a:xfrm>
              <a:off x="14786517" y="977590"/>
              <a:ext cx="2747324" cy="1121743"/>
              <a:chOff x="11422566" y="4341542"/>
              <a:chExt cx="2747324" cy="1121743"/>
            </a:xfrm>
          </xdr:grpSpPr>
          <xdr:sp macro="" textlink="">
            <xdr:nvSpPr>
              <xdr:cNvPr id="60" name="Rectangle: Rounded Corners 59">
                <a:extLst>
                  <a:ext uri="{FF2B5EF4-FFF2-40B4-BE49-F238E27FC236}">
                    <a16:creationId xmlns:a16="http://schemas.microsoft.com/office/drawing/2014/main" id="{6FC8D5BF-4ABA-F346-F39E-88DE0EAC9386}"/>
                  </a:ext>
                </a:extLst>
              </xdr:cNvPr>
              <xdr:cNvSpPr/>
            </xdr:nvSpPr>
            <xdr:spPr>
              <a:xfrm>
                <a:off x="11422566" y="4341542"/>
                <a:ext cx="2747324"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Avg Experience(y)</a:t>
                </a:r>
                <a:endParaRPr lang="en-US" sz="2800" b="1">
                  <a:solidFill>
                    <a:schemeClr val="tx1"/>
                  </a:solidFill>
                </a:endParaRPr>
              </a:p>
            </xdr:txBody>
          </xdr:sp>
          <xdr:sp macro="" textlink="'Pivot Tables Analysis'!E6">
            <xdr:nvSpPr>
              <xdr:cNvPr id="62" name="TextBox 61">
                <a:extLst>
                  <a:ext uri="{FF2B5EF4-FFF2-40B4-BE49-F238E27FC236}">
                    <a16:creationId xmlns:a16="http://schemas.microsoft.com/office/drawing/2014/main" id="{FD42BDA2-6E5F-7EB2-56C0-B52924CE7827}"/>
                  </a:ext>
                </a:extLst>
              </xdr:cNvPr>
              <xdr:cNvSpPr txBox="1"/>
            </xdr:nvSpPr>
            <xdr:spPr>
              <a:xfrm>
                <a:off x="12573001" y="4826617"/>
                <a:ext cx="1273096" cy="4051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D6080E-25B6-4100-8EDF-E064692264E1}" type="TxLink">
                  <a:rPr lang="en-US" sz="2400" b="1" i="0" u="none" strike="noStrike">
                    <a:solidFill>
                      <a:srgbClr val="000000"/>
                    </a:solidFill>
                    <a:latin typeface="Aptos Narrow"/>
                  </a:rPr>
                  <a:pPr/>
                  <a:t>15</a:t>
                </a:fld>
                <a:endParaRPr lang="en-US" sz="4400" b="1"/>
              </a:p>
            </xdr:txBody>
          </xdr:sp>
        </xdr:grpSp>
        <xdr:pic>
          <xdr:nvPicPr>
            <xdr:cNvPr id="64" name="Picture 63">
              <a:extLst>
                <a:ext uri="{FF2B5EF4-FFF2-40B4-BE49-F238E27FC236}">
                  <a16:creationId xmlns:a16="http://schemas.microsoft.com/office/drawing/2014/main" id="{5E43D7AE-416F-7065-8645-7F4426BF0D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859002" y="1476284"/>
              <a:ext cx="501803" cy="501803"/>
            </a:xfrm>
            <a:prstGeom prst="rect">
              <a:avLst/>
            </a:prstGeom>
          </xdr:spPr>
        </xdr:pic>
      </xdr:grpSp>
      <xdr:grpSp>
        <xdr:nvGrpSpPr>
          <xdr:cNvPr id="67" name="Group 66">
            <a:extLst>
              <a:ext uri="{FF2B5EF4-FFF2-40B4-BE49-F238E27FC236}">
                <a16:creationId xmlns:a16="http://schemas.microsoft.com/office/drawing/2014/main" id="{9649D0B2-6EB2-3F88-DB04-6DA5E649051D}"/>
              </a:ext>
            </a:extLst>
          </xdr:cNvPr>
          <xdr:cNvGrpSpPr/>
        </xdr:nvGrpSpPr>
        <xdr:grpSpPr>
          <a:xfrm>
            <a:off x="12128812" y="974539"/>
            <a:ext cx="2522959" cy="1082465"/>
            <a:chOff x="12180849" y="1001753"/>
            <a:chExt cx="2541545" cy="1121743"/>
          </a:xfrm>
        </xdr:grpSpPr>
        <xdr:grpSp>
          <xdr:nvGrpSpPr>
            <xdr:cNvPr id="55" name="Group 54">
              <a:extLst>
                <a:ext uri="{FF2B5EF4-FFF2-40B4-BE49-F238E27FC236}">
                  <a16:creationId xmlns:a16="http://schemas.microsoft.com/office/drawing/2014/main" id="{AB32136B-18BE-483B-9780-28948F1F4A4B}"/>
                </a:ext>
              </a:extLst>
            </xdr:cNvPr>
            <xdr:cNvGrpSpPr/>
          </xdr:nvGrpSpPr>
          <xdr:grpSpPr>
            <a:xfrm>
              <a:off x="12180849" y="1001753"/>
              <a:ext cx="2541545" cy="1121743"/>
              <a:chOff x="11422566" y="4341542"/>
              <a:chExt cx="2541545" cy="1121743"/>
            </a:xfrm>
          </xdr:grpSpPr>
          <xdr:sp macro="" textlink="">
            <xdr:nvSpPr>
              <xdr:cNvPr id="56" name="Rectangle: Rounded Corners 55">
                <a:extLst>
                  <a:ext uri="{FF2B5EF4-FFF2-40B4-BE49-F238E27FC236}">
                    <a16:creationId xmlns:a16="http://schemas.microsoft.com/office/drawing/2014/main" id="{2A820B5C-9E57-D064-4C5F-DC2B567D1DFB}"/>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    #Employees</a:t>
                </a:r>
                <a:endParaRPr lang="en-US" sz="2800" b="1">
                  <a:solidFill>
                    <a:schemeClr val="tx1"/>
                  </a:solidFill>
                </a:endParaRPr>
              </a:p>
            </xdr:txBody>
          </xdr:sp>
          <xdr:sp macro="" textlink="'Pivot Tables Analysis'!F6">
            <xdr:nvSpPr>
              <xdr:cNvPr id="58" name="TextBox 57">
                <a:extLst>
                  <a:ext uri="{FF2B5EF4-FFF2-40B4-BE49-F238E27FC236}">
                    <a16:creationId xmlns:a16="http://schemas.microsoft.com/office/drawing/2014/main" id="{6DD7C294-B3A7-4BC2-5773-31C13B8E206C}"/>
                  </a:ext>
                </a:extLst>
              </xdr:cNvPr>
              <xdr:cNvSpPr txBox="1"/>
            </xdr:nvSpPr>
            <xdr:spPr>
              <a:xfrm>
                <a:off x="12595301" y="4845203"/>
                <a:ext cx="1338147" cy="39958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115194-89E0-4E04-B9C6-4B7DDDD9DCDC}" type="TxLink">
                  <a:rPr lang="en-US" sz="2400" b="1" i="0" u="none" strike="noStrike">
                    <a:solidFill>
                      <a:srgbClr val="000000"/>
                    </a:solidFill>
                    <a:latin typeface="Aptos Narrow"/>
                  </a:rPr>
                  <a:pPr/>
                  <a:t>94</a:t>
                </a:fld>
                <a:endParaRPr lang="en-US" sz="4400" b="1"/>
              </a:p>
            </xdr:txBody>
          </xdr:sp>
        </xdr:grpSp>
        <xdr:pic>
          <xdr:nvPicPr>
            <xdr:cNvPr id="66" name="Picture 65">
              <a:extLst>
                <a:ext uri="{FF2B5EF4-FFF2-40B4-BE49-F238E27FC236}">
                  <a16:creationId xmlns:a16="http://schemas.microsoft.com/office/drawing/2014/main" id="{CF08EDF3-6D7D-DD84-38B6-B9546BF81B7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75633" y="1514707"/>
              <a:ext cx="538976" cy="538976"/>
            </a:xfrm>
            <a:prstGeom prst="rect">
              <a:avLst/>
            </a:prstGeom>
          </xdr:spPr>
        </xdr:pic>
      </xdr:grpSp>
    </xdr:grpSp>
    <xdr:clientData/>
  </xdr:twoCellAnchor>
  <xdr:twoCellAnchor editAs="oneCell">
    <xdr:from>
      <xdr:col>0</xdr:col>
      <xdr:colOff>43543</xdr:colOff>
      <xdr:row>6</xdr:row>
      <xdr:rowOff>7618</xdr:rowOff>
    </xdr:from>
    <xdr:to>
      <xdr:col>3</xdr:col>
      <xdr:colOff>130628</xdr:colOff>
      <xdr:row>17</xdr:row>
      <xdr:rowOff>108857</xdr:rowOff>
    </xdr:to>
    <mc:AlternateContent xmlns:mc="http://schemas.openxmlformats.org/markup-compatibility/2006" xmlns:a14="http://schemas.microsoft.com/office/drawing/2010/main">
      <mc:Choice Requires="a14">
        <xdr:graphicFrame macro="">
          <xdr:nvGraphicFramePr>
            <xdr:cNvPr id="73" name="الوظيفة">
              <a:extLst>
                <a:ext uri="{FF2B5EF4-FFF2-40B4-BE49-F238E27FC236}">
                  <a16:creationId xmlns:a16="http://schemas.microsoft.com/office/drawing/2014/main" id="{F1051A61-8DC6-4656-8E73-912F5BEF8A77}"/>
                </a:ext>
              </a:extLst>
            </xdr:cNvPr>
            <xdr:cNvGraphicFramePr/>
          </xdr:nvGraphicFramePr>
          <xdr:xfrm>
            <a:off x="0" y="0"/>
            <a:ext cx="0" cy="0"/>
          </xdr:xfrm>
          <a:graphic>
            <a:graphicData uri="http://schemas.microsoft.com/office/drawing/2010/slicer">
              <sle:slicer xmlns:sle="http://schemas.microsoft.com/office/drawing/2010/slicer" name="الوظيفة"/>
            </a:graphicData>
          </a:graphic>
        </xdr:graphicFrame>
      </mc:Choice>
      <mc:Fallback xmlns="">
        <xdr:sp macro="" textlink="">
          <xdr:nvSpPr>
            <xdr:cNvPr id="0" name=""/>
            <xdr:cNvSpPr>
              <a:spLocks noTextEdit="1"/>
            </xdr:cNvSpPr>
          </xdr:nvSpPr>
          <xdr:spPr>
            <a:xfrm>
              <a:off x="43543" y="1083383"/>
              <a:ext cx="1902438" cy="2073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185057</xdr:colOff>
      <xdr:row>5</xdr:row>
      <xdr:rowOff>185056</xdr:rowOff>
    </xdr:from>
    <xdr:to>
      <xdr:col>7</xdr:col>
      <xdr:colOff>576943</xdr:colOff>
      <xdr:row>11</xdr:row>
      <xdr:rowOff>163285</xdr:rowOff>
    </xdr:to>
    <mc:AlternateContent xmlns:mc="http://schemas.openxmlformats.org/markup-compatibility/2006" xmlns:a14="http://schemas.microsoft.com/office/drawing/2010/main">
      <mc:Choice Requires="a14">
        <xdr:graphicFrame macro="">
          <xdr:nvGraphicFramePr>
            <xdr:cNvPr id="74" name="القسم">
              <a:extLst>
                <a:ext uri="{FF2B5EF4-FFF2-40B4-BE49-F238E27FC236}">
                  <a16:creationId xmlns:a16="http://schemas.microsoft.com/office/drawing/2014/main" id="{40690E38-917F-41B3-B946-77B3F3E6079D}"/>
                </a:ext>
              </a:extLst>
            </xdr:cNvPr>
            <xdr:cNvGraphicFramePr/>
          </xdr:nvGraphicFramePr>
          <xdr:xfrm>
            <a:off x="0" y="0"/>
            <a:ext cx="0" cy="0"/>
          </xdr:xfrm>
          <a:graphic>
            <a:graphicData uri="http://schemas.microsoft.com/office/drawing/2010/slicer">
              <sle:slicer xmlns:sle="http://schemas.microsoft.com/office/drawing/2010/slicer" name="القسم"/>
            </a:graphicData>
          </a:graphic>
        </xdr:graphicFrame>
      </mc:Choice>
      <mc:Fallback xmlns="">
        <xdr:sp macro="" textlink="">
          <xdr:nvSpPr>
            <xdr:cNvPr id="0" name=""/>
            <xdr:cNvSpPr>
              <a:spLocks noTextEdit="1"/>
            </xdr:cNvSpPr>
          </xdr:nvSpPr>
          <xdr:spPr>
            <a:xfrm>
              <a:off x="2000410" y="1081527"/>
              <a:ext cx="2812357" cy="1053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152399</xdr:colOff>
      <xdr:row>12</xdr:row>
      <xdr:rowOff>15238</xdr:rowOff>
    </xdr:from>
    <xdr:to>
      <xdr:col>7</xdr:col>
      <xdr:colOff>576942</xdr:colOff>
      <xdr:row>17</xdr:row>
      <xdr:rowOff>119742</xdr:rowOff>
    </xdr:to>
    <mc:AlternateContent xmlns:mc="http://schemas.openxmlformats.org/markup-compatibility/2006" xmlns:a14="http://schemas.microsoft.com/office/drawing/2010/main">
      <mc:Choice Requires="a14">
        <xdr:graphicFrame macro="">
          <xdr:nvGraphicFramePr>
            <xdr:cNvPr id="75" name="الموقع">
              <a:extLst>
                <a:ext uri="{FF2B5EF4-FFF2-40B4-BE49-F238E27FC236}">
                  <a16:creationId xmlns:a16="http://schemas.microsoft.com/office/drawing/2014/main" id="{B9A90B5F-705F-405C-9B4D-D615DE595DD3}"/>
                </a:ext>
              </a:extLst>
            </xdr:cNvPr>
            <xdr:cNvGraphicFramePr/>
          </xdr:nvGraphicFramePr>
          <xdr:xfrm>
            <a:off x="0" y="0"/>
            <a:ext cx="0" cy="0"/>
          </xdr:xfrm>
          <a:graphic>
            <a:graphicData uri="http://schemas.microsoft.com/office/drawing/2010/slicer">
              <sle:slicer xmlns:sle="http://schemas.microsoft.com/office/drawing/2010/slicer" name="الموقع"/>
            </a:graphicData>
          </a:graphic>
        </xdr:graphicFrame>
      </mc:Choice>
      <mc:Fallback xmlns="">
        <xdr:sp macro="" textlink="">
          <xdr:nvSpPr>
            <xdr:cNvPr id="0" name=""/>
            <xdr:cNvSpPr>
              <a:spLocks noTextEdit="1"/>
            </xdr:cNvSpPr>
          </xdr:nvSpPr>
          <xdr:spPr>
            <a:xfrm>
              <a:off x="1967752" y="2166767"/>
              <a:ext cx="2845014" cy="1000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17</xdr:row>
      <xdr:rowOff>149135</xdr:rowOff>
    </xdr:from>
    <xdr:to>
      <xdr:col>7</xdr:col>
      <xdr:colOff>587828</xdr:colOff>
      <xdr:row>22</xdr:row>
      <xdr:rowOff>10886</xdr:rowOff>
    </xdr:to>
    <mc:AlternateContent xmlns:mc="http://schemas.openxmlformats.org/markup-compatibility/2006" xmlns:a14="http://schemas.microsoft.com/office/drawing/2010/main">
      <mc:Choice Requires="a14">
        <xdr:graphicFrame macro="">
          <xdr:nvGraphicFramePr>
            <xdr:cNvPr id="76" name="المؤهل الدراسي">
              <a:extLst>
                <a:ext uri="{FF2B5EF4-FFF2-40B4-BE49-F238E27FC236}">
                  <a16:creationId xmlns:a16="http://schemas.microsoft.com/office/drawing/2014/main" id="{DF32D776-FC79-43BB-A0FC-B9D0D1D3B1CF}"/>
                </a:ext>
              </a:extLst>
            </xdr:cNvPr>
            <xdr:cNvGraphicFramePr/>
          </xdr:nvGraphicFramePr>
          <xdr:xfrm>
            <a:off x="0" y="0"/>
            <a:ext cx="0" cy="0"/>
          </xdr:xfrm>
          <a:graphic>
            <a:graphicData uri="http://schemas.microsoft.com/office/drawing/2010/slicer">
              <sle:slicer xmlns:sle="http://schemas.microsoft.com/office/drawing/2010/slicer" name="المؤهل الدراسي"/>
            </a:graphicData>
          </a:graphic>
        </xdr:graphicFrame>
      </mc:Choice>
      <mc:Fallback xmlns="">
        <xdr:sp macro="" textlink="">
          <xdr:nvSpPr>
            <xdr:cNvPr id="0" name=""/>
            <xdr:cNvSpPr>
              <a:spLocks noTextEdit="1"/>
            </xdr:cNvSpPr>
          </xdr:nvSpPr>
          <xdr:spPr>
            <a:xfrm>
              <a:off x="45720" y="3197135"/>
              <a:ext cx="4777932" cy="758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43543</xdr:colOff>
      <xdr:row>12</xdr:row>
      <xdr:rowOff>43542</xdr:rowOff>
    </xdr:from>
    <xdr:to>
      <xdr:col>17</xdr:col>
      <xdr:colOff>555171</xdr:colOff>
      <xdr:row>41</xdr:row>
      <xdr:rowOff>112059</xdr:rowOff>
    </xdr:to>
    <xdr:graphicFrame macro="">
      <xdr:nvGraphicFramePr>
        <xdr:cNvPr id="77" name="Chart 76">
          <a:extLst>
            <a:ext uri="{FF2B5EF4-FFF2-40B4-BE49-F238E27FC236}">
              <a16:creationId xmlns:a16="http://schemas.microsoft.com/office/drawing/2014/main" id="{5AFB9D66-B954-4A56-B00C-B3A821317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87086</xdr:colOff>
      <xdr:row>22</xdr:row>
      <xdr:rowOff>76199</xdr:rowOff>
    </xdr:from>
    <xdr:to>
      <xdr:col>7</xdr:col>
      <xdr:colOff>544286</xdr:colOff>
      <xdr:row>41</xdr:row>
      <xdr:rowOff>112058</xdr:rowOff>
    </xdr:to>
    <xdr:graphicFrame macro="">
      <xdr:nvGraphicFramePr>
        <xdr:cNvPr id="78" name="Chart 77">
          <a:extLst>
            <a:ext uri="{FF2B5EF4-FFF2-40B4-BE49-F238E27FC236}">
              <a16:creationId xmlns:a16="http://schemas.microsoft.com/office/drawing/2014/main" id="{F4360E3E-E000-4345-A82A-7D6717F73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54428</xdr:colOff>
      <xdr:row>12</xdr:row>
      <xdr:rowOff>65314</xdr:rowOff>
    </xdr:from>
    <xdr:to>
      <xdr:col>25</xdr:col>
      <xdr:colOff>123008</xdr:colOff>
      <xdr:row>25</xdr:row>
      <xdr:rowOff>145676</xdr:rowOff>
    </xdr:to>
    <xdr:graphicFrame macro="">
      <xdr:nvGraphicFramePr>
        <xdr:cNvPr id="79" name="Chart 78">
          <a:extLst>
            <a:ext uri="{FF2B5EF4-FFF2-40B4-BE49-F238E27FC236}">
              <a16:creationId xmlns:a16="http://schemas.microsoft.com/office/drawing/2014/main" id="{8C6EBA71-A3FC-4A44-A5CA-94EF9A7C3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272142</xdr:colOff>
      <xdr:row>12</xdr:row>
      <xdr:rowOff>87084</xdr:rowOff>
    </xdr:from>
    <xdr:to>
      <xdr:col>33</xdr:col>
      <xdr:colOff>358589</xdr:colOff>
      <xdr:row>25</xdr:row>
      <xdr:rowOff>156881</xdr:rowOff>
    </xdr:to>
    <xdr:graphicFrame macro="">
      <xdr:nvGraphicFramePr>
        <xdr:cNvPr id="80" name="Chart 79">
          <a:extLst>
            <a:ext uri="{FF2B5EF4-FFF2-40B4-BE49-F238E27FC236}">
              <a16:creationId xmlns:a16="http://schemas.microsoft.com/office/drawing/2014/main" id="{8962CF47-E76D-4EB0-A43E-F8B6034BD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141512</xdr:colOff>
      <xdr:row>26</xdr:row>
      <xdr:rowOff>43544</xdr:rowOff>
    </xdr:from>
    <xdr:to>
      <xdr:col>33</xdr:col>
      <xdr:colOff>392205</xdr:colOff>
      <xdr:row>42</xdr:row>
      <xdr:rowOff>0</xdr:rowOff>
    </xdr:to>
    <xdr:graphicFrame macro="">
      <xdr:nvGraphicFramePr>
        <xdr:cNvPr id="81" name="Chart 80">
          <a:extLst>
            <a:ext uri="{FF2B5EF4-FFF2-40B4-BE49-F238E27FC236}">
              <a16:creationId xmlns:a16="http://schemas.microsoft.com/office/drawing/2014/main" id="{A7EE9B0A-BE16-4E1A-8963-CCFFCA396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0</xdr:row>
      <xdr:rowOff>33618</xdr:rowOff>
    </xdr:from>
    <xdr:to>
      <xdr:col>34</xdr:col>
      <xdr:colOff>5622</xdr:colOff>
      <xdr:row>6</xdr:row>
      <xdr:rowOff>8771</xdr:rowOff>
    </xdr:to>
    <xdr:grpSp>
      <xdr:nvGrpSpPr>
        <xdr:cNvPr id="88" name="Group 87">
          <a:extLst>
            <a:ext uri="{FF2B5EF4-FFF2-40B4-BE49-F238E27FC236}">
              <a16:creationId xmlns:a16="http://schemas.microsoft.com/office/drawing/2014/main" id="{3B1AAA38-0AC3-FAC1-3473-992C0A032C31}"/>
            </a:ext>
          </a:extLst>
        </xdr:cNvPr>
        <xdr:cNvGrpSpPr/>
      </xdr:nvGrpSpPr>
      <xdr:grpSpPr>
        <a:xfrm>
          <a:off x="0" y="33618"/>
          <a:ext cx="20579622" cy="1050918"/>
          <a:chOff x="-560295" y="-11206"/>
          <a:chExt cx="20579622" cy="1050918"/>
        </a:xfrm>
      </xdr:grpSpPr>
      <xdr:pic>
        <xdr:nvPicPr>
          <xdr:cNvPr id="16" name="Picture 15">
            <a:extLst>
              <a:ext uri="{FF2B5EF4-FFF2-40B4-BE49-F238E27FC236}">
                <a16:creationId xmlns:a16="http://schemas.microsoft.com/office/drawing/2014/main" id="{2F2388A9-9B32-F3A2-8895-7E09B2DE0BB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9204960" y="260009"/>
            <a:ext cx="814367" cy="395760"/>
          </a:xfrm>
          <a:prstGeom prst="rect">
            <a:avLst/>
          </a:prstGeom>
        </xdr:spPr>
      </xdr:pic>
      <xdr:pic>
        <xdr:nvPicPr>
          <xdr:cNvPr id="9" name="Picture 8">
            <a:extLst>
              <a:ext uri="{FF2B5EF4-FFF2-40B4-BE49-F238E27FC236}">
                <a16:creationId xmlns:a16="http://schemas.microsoft.com/office/drawing/2014/main" id="{AAB733D5-710E-745C-F251-00A89280EA3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708027" y="204713"/>
            <a:ext cx="697369" cy="680005"/>
          </a:xfrm>
          <a:prstGeom prst="rect">
            <a:avLst/>
          </a:prstGeom>
        </xdr:spPr>
      </xdr:pic>
      <xdr:pic>
        <xdr:nvPicPr>
          <xdr:cNvPr id="19" name="Picture 18">
            <a:extLst>
              <a:ext uri="{FF2B5EF4-FFF2-40B4-BE49-F238E27FC236}">
                <a16:creationId xmlns:a16="http://schemas.microsoft.com/office/drawing/2014/main" id="{5F572C93-8B2E-5E30-F632-3986EE8FB8E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614860" y="368318"/>
            <a:ext cx="374511" cy="366964"/>
          </a:xfrm>
          <a:prstGeom prst="rect">
            <a:avLst/>
          </a:prstGeom>
        </xdr:spPr>
      </xdr:pic>
      <xdr:pic>
        <xdr:nvPicPr>
          <xdr:cNvPr id="83" name="Picture 82">
            <a:extLst>
              <a:ext uri="{FF2B5EF4-FFF2-40B4-BE49-F238E27FC236}">
                <a16:creationId xmlns:a16="http://schemas.microsoft.com/office/drawing/2014/main" id="{5F1BD64E-E904-1BCD-7DDB-8418390214C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60295" y="-11206"/>
            <a:ext cx="1344706" cy="1050918"/>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9.012321643517" createdVersion="8" refreshedVersion="8" minRefreshableVersion="3" recordCount="94" xr:uid="{AF1557F7-19C7-4A45-B6EF-6B3F02D4DDDE}">
  <cacheSource type="worksheet">
    <worksheetSource name="All_Departments_Data"/>
  </cacheSource>
  <cacheFields count="21">
    <cacheField name="المسلسل" numFmtId="0">
      <sharedItems containsSemiMixedTypes="0" containsString="0" containsNumber="1" containsInteger="1" minValue="1" maxValue="94"/>
    </cacheField>
    <cacheField name="الرقم الوظيفي" numFmtId="0">
      <sharedItems containsSemiMixedTypes="0" containsString="0" containsNumber="1" containsInteger="1" minValue="25905" maxValue="31457"/>
    </cacheField>
    <cacheField name="اسم الموظف" numFmtId="0">
      <sharedItems count="38">
        <s v="أحمد سمير"/>
        <s v="هدي محمد"/>
        <s v="أشرف أحمد"/>
        <s v="تامر خالد"/>
        <s v="حازم أحمد"/>
        <s v="يوسف أحمد"/>
        <s v="أحمد فريد"/>
        <s v="نورهان أحمد"/>
        <s v="منه محمود"/>
        <s v="منه أحمد"/>
        <s v="هند بهاء"/>
        <s v="مارك يوسف"/>
        <s v="يحيي هادي"/>
        <s v="نغم محمد"/>
        <s v="محمد أحمد"/>
        <s v="أحمد حسن"/>
        <s v="محمد علاء"/>
        <s v="علي محمد"/>
        <s v="مهاب أسامة"/>
        <s v="عبد الرحمن محمد"/>
        <s v="محمد راضي"/>
        <s v="الاء أحمد"/>
        <s v="كامل عصام"/>
        <s v="خالد محمد"/>
        <s v="سارة احمد محمد"/>
        <s v="ندي إبراهيم"/>
        <s v="مي محمد ابراهيم"/>
        <s v="مروة محمد عبدالله"/>
        <s v="هالة عبد العال"/>
        <s v="فادي نور"/>
        <s v="نور يحيي"/>
        <s v="اسراء عصام"/>
        <s v="ايمان علي سلامة"/>
        <s v="مؤمن محمد"/>
        <s v="حسين ياسر"/>
        <s v="نسمة كامل"/>
        <s v="تغريد يحيي"/>
        <s v="حسن أحمد"/>
      </sharedItems>
    </cacheField>
    <cacheField name="الوظيفة" numFmtId="0">
      <sharedItems count="13">
        <s v="Sales Manager"/>
        <s v="Sales rep."/>
        <s v="Marketing Manager"/>
        <s v="Digital marketing specialist"/>
        <s v="Products Marketing Coordinator"/>
        <s v="IT Manager"/>
        <s v="Software developer"/>
        <s v="HR Manager"/>
        <s v="HR Specialist"/>
        <s v="Recruitment Specialsit"/>
        <s v="HR Coordinator"/>
        <s v="Financial Manager"/>
        <s v="Accountant"/>
      </sharedItems>
    </cacheField>
    <cacheField name="القسم" numFmtId="0">
      <sharedItems count="5">
        <s v="Sales"/>
        <s v="Marketing"/>
        <s v="IT"/>
        <s v="HR"/>
        <s v="Finance"/>
      </sharedItems>
    </cacheField>
    <cacheField name="الموقع" numFmtId="0">
      <sharedItems count="5">
        <s v="القاهرة"/>
        <s v="الاسكندرية"/>
        <s v="طنطا"/>
        <s v="القاهره" u="1"/>
        <s v="الاسكندريه" u="1"/>
      </sharedItems>
    </cacheField>
    <cacheField name="تاريخ التعيين" numFmtId="14">
      <sharedItems containsSemiMixedTypes="0" containsNonDate="0" containsDate="1" containsString="0" minDate="1995-11-26T00:00:00" maxDate="2018-12-30T00:00:00"/>
    </cacheField>
    <cacheField name="تاريخ الميلاد" numFmtId="14">
      <sharedItems containsSemiMixedTypes="0" containsNonDate="0" containsDate="1" containsString="0" minDate="1959-05-25T00:00:00" maxDate="1989-08-24T00:00:00"/>
    </cacheField>
    <cacheField name="المؤهل الدراسي" numFmtId="0">
      <sharedItems count="3">
        <s v="بكالوريوس"/>
        <s v="دبلوم"/>
        <s v="ماجستير"/>
      </sharedItems>
    </cacheField>
    <cacheField name="الراتب" numFmtId="0">
      <sharedItems containsSemiMixedTypes="0" containsString="0" containsNumber="1" containsInteger="1" minValue="1428" maxValue="35000"/>
    </cacheField>
    <cacheField name="PER 2019" numFmtId="0">
      <sharedItems containsSemiMixedTypes="0" containsString="0" containsNumber="1" minValue="0.75" maxValue="0.89"/>
    </cacheField>
    <cacheField name="PER 2020" numFmtId="0">
      <sharedItems containsSemiMixedTypes="0" containsString="0" containsNumber="1" minValue="0.4" maxValue="0.97"/>
    </cacheField>
    <cacheField name="Employees Age" numFmtId="0">
      <sharedItems containsSemiMixedTypes="0" containsString="0" containsNumber="1" containsInteger="1" minValue="36" maxValue="67"/>
    </cacheField>
    <cacheField name="Experience" numFmtId="0">
      <sharedItems containsSemiMixedTypes="0" containsString="0" containsNumber="1" containsInteger="1" minValue="7" maxValue="30"/>
    </cacheField>
    <cacheField name="Total Average Performance" numFmtId="0">
      <sharedItems containsSemiMixedTypes="0" containsString="0" containsNumber="1" minValue="0.59" maxValue="0.91999999999999993"/>
    </cacheField>
    <cacheField name="Delta" numFmtId="0">
      <sharedItems containsSemiMixedTypes="0" containsString="0" containsNumber="1" minValue="-0.48000000000000004" maxValue="0.20999999999999996"/>
    </cacheField>
    <cacheField name="Performance Category" numFmtId="0">
      <sharedItems count="3">
        <s v="Medium"/>
        <s v="High"/>
        <s v="Low"/>
      </sharedItems>
    </cacheField>
    <cacheField name="Salary Range" numFmtId="0">
      <sharedItems count="4">
        <s v="&gt;20K"/>
        <s v="10K-20K"/>
        <s v="5K-10K"/>
        <s v="&lt;5K"/>
      </sharedItems>
    </cacheField>
    <cacheField name="Experience Range" numFmtId="0">
      <sharedItems count="3">
        <s v="15+ Years"/>
        <s v="10–15 Years"/>
        <s v="5–10 Years"/>
      </sharedItems>
    </cacheField>
    <cacheField name="Experience Category" numFmtId="0">
      <sharedItems count="3">
        <s v="Senior"/>
        <s v="Mid-level"/>
        <s v="Junior"/>
      </sharedItems>
    </cacheField>
    <cacheField name="Age Category" numFmtId="0">
      <sharedItems count="2">
        <s v="Mid-age"/>
        <s v="Senior"/>
      </sharedItems>
    </cacheField>
  </cacheFields>
  <extLst>
    <ext xmlns:x14="http://schemas.microsoft.com/office/spreadsheetml/2009/9/main" uri="{725AE2AE-9491-48be-B2B4-4EB974FC3084}">
      <x14:pivotCacheDefinition pivotCacheId="1221509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n v="5"/>
    <n v="27375"/>
    <x v="0"/>
    <x v="0"/>
    <x v="0"/>
    <x v="0"/>
    <d v="2000-08-03T00:00:00"/>
    <d v="1980-03-01T00:00:00"/>
    <x v="0"/>
    <n v="35000"/>
    <n v="0.89"/>
    <n v="0.52"/>
    <n v="46"/>
    <n v="25"/>
    <n v="0.70500000000000007"/>
    <n v="-0.37"/>
    <x v="0"/>
    <x v="0"/>
    <x v="0"/>
    <x v="0"/>
    <x v="0"/>
  </r>
  <r>
    <n v="10"/>
    <n v="30377"/>
    <x v="1"/>
    <x v="1"/>
    <x v="0"/>
    <x v="1"/>
    <d v="2010-07-03T00:00:00"/>
    <d v="1969-12-13T00:00:00"/>
    <x v="1"/>
    <n v="17456"/>
    <n v="0.87"/>
    <n v="0.97"/>
    <n v="56"/>
    <n v="15"/>
    <n v="0.91999999999999993"/>
    <n v="9.9999999999999978E-2"/>
    <x v="1"/>
    <x v="1"/>
    <x v="0"/>
    <x v="0"/>
    <x v="1"/>
  </r>
  <r>
    <n v="11"/>
    <n v="29369"/>
    <x v="2"/>
    <x v="1"/>
    <x v="0"/>
    <x v="1"/>
    <d v="2015-11-18T00:00:00"/>
    <d v="1978-11-13T00:00:00"/>
    <x v="1"/>
    <n v="7943"/>
    <n v="0.75"/>
    <n v="0.7"/>
    <n v="47"/>
    <n v="10"/>
    <n v="0.72499999999999998"/>
    <n v="-5.0000000000000044E-2"/>
    <x v="0"/>
    <x v="2"/>
    <x v="1"/>
    <x v="1"/>
    <x v="0"/>
  </r>
  <r>
    <n v="16"/>
    <n v="27142"/>
    <x v="3"/>
    <x v="1"/>
    <x v="0"/>
    <x v="1"/>
    <d v="2011-05-25T00:00:00"/>
    <d v="1971-06-18T00:00:00"/>
    <x v="1"/>
    <n v="16613"/>
    <n v="0.84"/>
    <n v="0.42"/>
    <n v="55"/>
    <n v="15"/>
    <n v="0.63"/>
    <n v="-0.42"/>
    <x v="0"/>
    <x v="1"/>
    <x v="0"/>
    <x v="0"/>
    <x v="1"/>
  </r>
  <r>
    <n v="17"/>
    <n v="27650"/>
    <x v="4"/>
    <x v="1"/>
    <x v="0"/>
    <x v="1"/>
    <d v="2011-07-02T00:00:00"/>
    <d v="1979-12-05T00:00:00"/>
    <x v="1"/>
    <n v="6329"/>
    <n v="0.81"/>
    <n v="0.71"/>
    <n v="46"/>
    <n v="14"/>
    <n v="0.76"/>
    <n v="-0.10000000000000009"/>
    <x v="0"/>
    <x v="2"/>
    <x v="1"/>
    <x v="1"/>
    <x v="0"/>
  </r>
  <r>
    <n v="18"/>
    <n v="25906"/>
    <x v="5"/>
    <x v="1"/>
    <x v="0"/>
    <x v="0"/>
    <d v="2013-08-12T00:00:00"/>
    <d v="1981-03-19T00:00:00"/>
    <x v="1"/>
    <n v="17215"/>
    <n v="0.8"/>
    <n v="0.87"/>
    <n v="45"/>
    <n v="12"/>
    <n v="0.83499999999999996"/>
    <n v="6.9999999999999951E-2"/>
    <x v="1"/>
    <x v="1"/>
    <x v="1"/>
    <x v="1"/>
    <x v="0"/>
  </r>
  <r>
    <n v="19"/>
    <n v="26439"/>
    <x v="6"/>
    <x v="1"/>
    <x v="0"/>
    <x v="2"/>
    <d v="2014-09-23T00:00:00"/>
    <d v="1969-01-10T00:00:00"/>
    <x v="1"/>
    <n v="4799"/>
    <n v="0.86"/>
    <n v="0.64"/>
    <n v="57"/>
    <n v="11"/>
    <n v="0.75"/>
    <n v="-0.21999999999999997"/>
    <x v="0"/>
    <x v="3"/>
    <x v="1"/>
    <x v="1"/>
    <x v="1"/>
  </r>
  <r>
    <n v="20"/>
    <n v="26438"/>
    <x v="7"/>
    <x v="1"/>
    <x v="0"/>
    <x v="2"/>
    <d v="2014-10-11T00:00:00"/>
    <d v="1969-01-07T00:00:00"/>
    <x v="1"/>
    <n v="18547"/>
    <n v="0.82"/>
    <n v="0.65"/>
    <n v="57"/>
    <n v="11"/>
    <n v="0.73499999999999999"/>
    <n v="-0.16999999999999993"/>
    <x v="0"/>
    <x v="1"/>
    <x v="1"/>
    <x v="1"/>
    <x v="1"/>
  </r>
  <r>
    <n v="21"/>
    <n v="31456"/>
    <x v="8"/>
    <x v="1"/>
    <x v="0"/>
    <x v="1"/>
    <d v="2015-04-11T00:00:00"/>
    <d v="1963-10-28T00:00:00"/>
    <x v="1"/>
    <n v="4649"/>
    <n v="0.75"/>
    <n v="0.78"/>
    <n v="62"/>
    <n v="11"/>
    <n v="0.76500000000000001"/>
    <n v="3.0000000000000027E-2"/>
    <x v="0"/>
    <x v="3"/>
    <x v="1"/>
    <x v="1"/>
    <x v="1"/>
  </r>
  <r>
    <n v="22"/>
    <n v="27141"/>
    <x v="9"/>
    <x v="1"/>
    <x v="0"/>
    <x v="0"/>
    <d v="2015-04-11T00:00:00"/>
    <d v="1984-05-06T00:00:00"/>
    <x v="1"/>
    <n v="15173"/>
    <n v="0.85"/>
    <n v="0.96"/>
    <n v="42"/>
    <n v="11"/>
    <n v="0.90500000000000003"/>
    <n v="0.10999999999999999"/>
    <x v="1"/>
    <x v="1"/>
    <x v="1"/>
    <x v="1"/>
    <x v="0"/>
  </r>
  <r>
    <n v="23"/>
    <n v="26448"/>
    <x v="10"/>
    <x v="1"/>
    <x v="0"/>
    <x v="0"/>
    <d v="2016-04-09T00:00:00"/>
    <d v="1983-06-20T00:00:00"/>
    <x v="1"/>
    <n v="18240"/>
    <n v="0.89"/>
    <n v="0.61"/>
    <n v="42"/>
    <n v="10"/>
    <n v="0.75"/>
    <n v="-0.28000000000000003"/>
    <x v="0"/>
    <x v="1"/>
    <x v="1"/>
    <x v="1"/>
    <x v="0"/>
  </r>
  <r>
    <n v="31"/>
    <n v="26437"/>
    <x v="11"/>
    <x v="1"/>
    <x v="0"/>
    <x v="0"/>
    <d v="2014-10-11T00:00:00"/>
    <d v="1976-08-16T00:00:00"/>
    <x v="1"/>
    <n v="3445"/>
    <n v="0.78"/>
    <n v="0.65"/>
    <n v="49"/>
    <n v="11"/>
    <n v="0.71500000000000008"/>
    <n v="-0.13"/>
    <x v="0"/>
    <x v="3"/>
    <x v="1"/>
    <x v="1"/>
    <x v="0"/>
  </r>
  <r>
    <n v="32"/>
    <n v="27960"/>
    <x v="12"/>
    <x v="1"/>
    <x v="0"/>
    <x v="1"/>
    <d v="2016-02-17T00:00:00"/>
    <d v="1964-09-21T00:00:00"/>
    <x v="1"/>
    <n v="13889"/>
    <n v="0.85"/>
    <n v="0.61"/>
    <n v="61"/>
    <n v="10"/>
    <n v="0.73"/>
    <n v="-0.24"/>
    <x v="0"/>
    <x v="1"/>
    <x v="1"/>
    <x v="1"/>
    <x v="1"/>
  </r>
  <r>
    <n v="37"/>
    <n v="27003"/>
    <x v="13"/>
    <x v="1"/>
    <x v="0"/>
    <x v="0"/>
    <d v="2018-01-21T00:00:00"/>
    <d v="1980-02-05T00:00:00"/>
    <x v="1"/>
    <n v="23467"/>
    <n v="0.79"/>
    <n v="0.95"/>
    <n v="46"/>
    <n v="8"/>
    <n v="0.87"/>
    <n v="0.15999999999999992"/>
    <x v="1"/>
    <x v="0"/>
    <x v="2"/>
    <x v="2"/>
    <x v="0"/>
  </r>
  <r>
    <n v="38"/>
    <n v="26440"/>
    <x v="14"/>
    <x v="1"/>
    <x v="0"/>
    <x v="1"/>
    <d v="2018-01-21T00:00:00"/>
    <d v="1977-08-27T00:00:00"/>
    <x v="1"/>
    <n v="2486"/>
    <n v="0.83"/>
    <n v="0.67"/>
    <n v="48"/>
    <n v="8"/>
    <n v="0.75"/>
    <n v="-0.15999999999999992"/>
    <x v="0"/>
    <x v="3"/>
    <x v="2"/>
    <x v="2"/>
    <x v="0"/>
  </r>
  <r>
    <n v="39"/>
    <n v="26433"/>
    <x v="15"/>
    <x v="1"/>
    <x v="0"/>
    <x v="1"/>
    <d v="2018-01-21T00:00:00"/>
    <d v="1964-04-30T00:00:00"/>
    <x v="1"/>
    <n v="9365"/>
    <n v="0.84"/>
    <n v="0.4"/>
    <n v="62"/>
    <n v="8"/>
    <n v="0.62"/>
    <n v="-0.43999999999999995"/>
    <x v="0"/>
    <x v="2"/>
    <x v="2"/>
    <x v="2"/>
    <x v="1"/>
  </r>
  <r>
    <n v="40"/>
    <n v="31457"/>
    <x v="16"/>
    <x v="1"/>
    <x v="0"/>
    <x v="0"/>
    <d v="1999-06-01T00:00:00"/>
    <d v="1964-06-04T00:00:00"/>
    <x v="1"/>
    <n v="22438"/>
    <n v="0.82"/>
    <n v="0.56999999999999995"/>
    <n v="62"/>
    <n v="27"/>
    <n v="0.69499999999999995"/>
    <n v="-0.25"/>
    <x v="0"/>
    <x v="0"/>
    <x v="0"/>
    <x v="0"/>
    <x v="1"/>
  </r>
  <r>
    <n v="41"/>
    <n v="27648"/>
    <x v="17"/>
    <x v="1"/>
    <x v="0"/>
    <x v="0"/>
    <d v="2004-05-08T00:00:00"/>
    <d v="1989-08-23T00:00:00"/>
    <x v="1"/>
    <n v="20869"/>
    <n v="0.77"/>
    <n v="0.41"/>
    <n v="36"/>
    <n v="22"/>
    <n v="0.59"/>
    <n v="-0.36000000000000004"/>
    <x v="2"/>
    <x v="0"/>
    <x v="0"/>
    <x v="0"/>
    <x v="0"/>
  </r>
  <r>
    <n v="42"/>
    <n v="27858"/>
    <x v="0"/>
    <x v="1"/>
    <x v="0"/>
    <x v="1"/>
    <d v="2011-11-03T00:00:00"/>
    <d v="1978-05-11T00:00:00"/>
    <x v="1"/>
    <n v="1428"/>
    <n v="0.87"/>
    <n v="0.96"/>
    <n v="48"/>
    <n v="14"/>
    <n v="0.91500000000000004"/>
    <n v="8.9999999999999969E-2"/>
    <x v="1"/>
    <x v="3"/>
    <x v="1"/>
    <x v="1"/>
    <x v="0"/>
  </r>
  <r>
    <n v="43"/>
    <n v="26444"/>
    <x v="18"/>
    <x v="1"/>
    <x v="0"/>
    <x v="0"/>
    <d v="1998-03-14T00:00:00"/>
    <d v="1978-10-19T00:00:00"/>
    <x v="1"/>
    <n v="16767"/>
    <n v="0.84"/>
    <n v="0.69"/>
    <n v="47"/>
    <n v="28"/>
    <n v="0.7649999999999999"/>
    <n v="-0.15000000000000002"/>
    <x v="0"/>
    <x v="1"/>
    <x v="0"/>
    <x v="0"/>
    <x v="0"/>
  </r>
  <r>
    <n v="51"/>
    <n v="28126"/>
    <x v="19"/>
    <x v="1"/>
    <x v="0"/>
    <x v="0"/>
    <d v="2006-08-01T00:00:00"/>
    <d v="1977-02-10T00:00:00"/>
    <x v="1"/>
    <n v="12122"/>
    <n v="0.76"/>
    <n v="0.67"/>
    <n v="49"/>
    <n v="19"/>
    <n v="0.71500000000000008"/>
    <n v="-8.9999999999999969E-2"/>
    <x v="0"/>
    <x v="1"/>
    <x v="0"/>
    <x v="0"/>
    <x v="0"/>
  </r>
  <r>
    <n v="52"/>
    <n v="26413"/>
    <x v="3"/>
    <x v="1"/>
    <x v="0"/>
    <x v="1"/>
    <d v="2007-03-03T00:00:00"/>
    <d v="1969-06-02T00:00:00"/>
    <x v="1"/>
    <n v="24004"/>
    <n v="0.81"/>
    <n v="0.77"/>
    <n v="57"/>
    <n v="19"/>
    <n v="0.79"/>
    <n v="-4.0000000000000036E-2"/>
    <x v="0"/>
    <x v="0"/>
    <x v="0"/>
    <x v="0"/>
    <x v="1"/>
  </r>
  <r>
    <n v="59"/>
    <n v="26347"/>
    <x v="10"/>
    <x v="1"/>
    <x v="0"/>
    <x v="1"/>
    <d v="2016-07-25T00:00:00"/>
    <d v="1989-04-01T00:00:00"/>
    <x v="1"/>
    <n v="7329"/>
    <n v="0.86"/>
    <n v="0.61"/>
    <n v="37"/>
    <n v="9"/>
    <n v="0.73499999999999999"/>
    <n v="-0.25"/>
    <x v="0"/>
    <x v="2"/>
    <x v="2"/>
    <x v="2"/>
    <x v="0"/>
  </r>
  <r>
    <n v="60"/>
    <n v="26430"/>
    <x v="20"/>
    <x v="1"/>
    <x v="0"/>
    <x v="1"/>
    <d v="2014-11-08T00:00:00"/>
    <d v="1970-08-23T00:00:00"/>
    <x v="1"/>
    <n v="20603"/>
    <n v="0.88"/>
    <n v="0.76"/>
    <n v="55"/>
    <n v="11"/>
    <n v="0.82000000000000006"/>
    <n v="-0.12"/>
    <x v="1"/>
    <x v="0"/>
    <x v="1"/>
    <x v="1"/>
    <x v="1"/>
  </r>
  <r>
    <n v="72"/>
    <n v="26991"/>
    <x v="14"/>
    <x v="1"/>
    <x v="0"/>
    <x v="0"/>
    <d v="2012-02-13T00:00:00"/>
    <d v="1980-02-05T00:00:00"/>
    <x v="1"/>
    <n v="18091"/>
    <n v="0.84"/>
    <n v="0.91"/>
    <n v="46"/>
    <n v="14"/>
    <n v="0.875"/>
    <n v="7.0000000000000062E-2"/>
    <x v="1"/>
    <x v="1"/>
    <x v="1"/>
    <x v="1"/>
    <x v="0"/>
  </r>
  <r>
    <n v="73"/>
    <n v="27618"/>
    <x v="15"/>
    <x v="1"/>
    <x v="0"/>
    <x v="0"/>
    <d v="2015-02-01T00:00:00"/>
    <d v="1972-03-04T00:00:00"/>
    <x v="1"/>
    <n v="21390"/>
    <n v="0.76"/>
    <n v="0.89"/>
    <n v="54"/>
    <n v="11"/>
    <n v="0.82499999999999996"/>
    <n v="0.13"/>
    <x v="1"/>
    <x v="0"/>
    <x v="1"/>
    <x v="1"/>
    <x v="1"/>
  </r>
  <r>
    <n v="78"/>
    <n v="28166"/>
    <x v="21"/>
    <x v="1"/>
    <x v="0"/>
    <x v="1"/>
    <d v="2016-04-16T00:00:00"/>
    <d v="1983-08-08T00:00:00"/>
    <x v="1"/>
    <n v="13943"/>
    <n v="0.78"/>
    <n v="0.78"/>
    <n v="42"/>
    <n v="10"/>
    <n v="0.78"/>
    <n v="0"/>
    <x v="0"/>
    <x v="1"/>
    <x v="1"/>
    <x v="1"/>
    <x v="0"/>
  </r>
  <r>
    <n v="79"/>
    <n v="27004"/>
    <x v="22"/>
    <x v="1"/>
    <x v="0"/>
    <x v="1"/>
    <d v="1996-06-01T00:00:00"/>
    <d v="1977-02-01T00:00:00"/>
    <x v="1"/>
    <n v="9011"/>
    <n v="0.79"/>
    <n v="0.46"/>
    <n v="49"/>
    <n v="30"/>
    <n v="0.625"/>
    <n v="-0.33"/>
    <x v="0"/>
    <x v="2"/>
    <x v="0"/>
    <x v="0"/>
    <x v="0"/>
  </r>
  <r>
    <n v="80"/>
    <n v="27649"/>
    <x v="1"/>
    <x v="1"/>
    <x v="0"/>
    <x v="1"/>
    <d v="1996-11-20T00:00:00"/>
    <d v="1979-04-25T00:00:00"/>
    <x v="1"/>
    <n v="5390"/>
    <n v="0.81"/>
    <n v="0.4"/>
    <n v="47"/>
    <n v="29"/>
    <n v="0.60499999999999998"/>
    <n v="-0.41000000000000003"/>
    <x v="0"/>
    <x v="2"/>
    <x v="0"/>
    <x v="0"/>
    <x v="0"/>
  </r>
  <r>
    <n v="81"/>
    <n v="26998"/>
    <x v="2"/>
    <x v="1"/>
    <x v="0"/>
    <x v="1"/>
    <d v="1998-06-20T00:00:00"/>
    <d v="1976-01-15T00:00:00"/>
    <x v="1"/>
    <n v="19015"/>
    <n v="0.84"/>
    <n v="0.65"/>
    <n v="50"/>
    <n v="27"/>
    <n v="0.745"/>
    <n v="-0.18999999999999995"/>
    <x v="0"/>
    <x v="1"/>
    <x v="0"/>
    <x v="0"/>
    <x v="1"/>
  </r>
  <r>
    <n v="82"/>
    <n v="31455"/>
    <x v="23"/>
    <x v="1"/>
    <x v="0"/>
    <x v="2"/>
    <d v="2001-01-13T00:00:00"/>
    <d v="1979-09-26T00:00:00"/>
    <x v="1"/>
    <n v="8138"/>
    <n v="0.82"/>
    <n v="0.83"/>
    <n v="46"/>
    <n v="25"/>
    <n v="0.82499999999999996"/>
    <n v="1.0000000000000009E-2"/>
    <x v="1"/>
    <x v="2"/>
    <x v="0"/>
    <x v="0"/>
    <x v="0"/>
  </r>
  <r>
    <n v="89"/>
    <n v="26425"/>
    <x v="6"/>
    <x v="1"/>
    <x v="0"/>
    <x v="2"/>
    <d v="2012-10-09T00:00:00"/>
    <d v="1972-05-20T00:00:00"/>
    <x v="1"/>
    <n v="5061"/>
    <n v="0.75"/>
    <n v="0.67"/>
    <n v="54"/>
    <n v="13"/>
    <n v="0.71"/>
    <n v="-7.999999999999996E-2"/>
    <x v="0"/>
    <x v="2"/>
    <x v="1"/>
    <x v="1"/>
    <x v="1"/>
  </r>
  <r>
    <n v="90"/>
    <n v="26421"/>
    <x v="7"/>
    <x v="1"/>
    <x v="0"/>
    <x v="0"/>
    <d v="2013-04-14T00:00:00"/>
    <d v="1973-11-24T00:00:00"/>
    <x v="1"/>
    <n v="8005"/>
    <n v="0.85"/>
    <n v="0.75"/>
    <n v="52"/>
    <n v="13"/>
    <n v="0.8"/>
    <n v="-9.9999999999999978E-2"/>
    <x v="1"/>
    <x v="2"/>
    <x v="1"/>
    <x v="1"/>
    <x v="1"/>
  </r>
  <r>
    <n v="91"/>
    <n v="26419"/>
    <x v="8"/>
    <x v="1"/>
    <x v="0"/>
    <x v="1"/>
    <d v="2013-11-16T00:00:00"/>
    <d v="1970-03-28T00:00:00"/>
    <x v="1"/>
    <n v="7002"/>
    <n v="0.87"/>
    <n v="0.6"/>
    <n v="56"/>
    <n v="12"/>
    <n v="0.73499999999999999"/>
    <n v="-0.27"/>
    <x v="0"/>
    <x v="2"/>
    <x v="1"/>
    <x v="1"/>
    <x v="1"/>
  </r>
  <r>
    <n v="92"/>
    <n v="28927"/>
    <x v="9"/>
    <x v="1"/>
    <x v="0"/>
    <x v="0"/>
    <d v="2014-04-01T00:00:00"/>
    <d v="1969-02-20T00:00:00"/>
    <x v="1"/>
    <n v="23284"/>
    <n v="0.75"/>
    <n v="0.84"/>
    <n v="57"/>
    <n v="12"/>
    <n v="0.79499999999999993"/>
    <n v="8.9999999999999969E-2"/>
    <x v="0"/>
    <x v="0"/>
    <x v="1"/>
    <x v="1"/>
    <x v="1"/>
  </r>
  <r>
    <n v="93"/>
    <n v="26748"/>
    <x v="10"/>
    <x v="1"/>
    <x v="0"/>
    <x v="0"/>
    <d v="2014-05-12T00:00:00"/>
    <d v="1982-02-03T00:00:00"/>
    <x v="1"/>
    <n v="20019"/>
    <n v="0.89"/>
    <n v="0.78"/>
    <n v="44"/>
    <n v="12"/>
    <n v="0.83499999999999996"/>
    <n v="-0.10999999999999999"/>
    <x v="1"/>
    <x v="0"/>
    <x v="1"/>
    <x v="1"/>
    <x v="0"/>
  </r>
  <r>
    <n v="94"/>
    <n v="27494"/>
    <x v="20"/>
    <x v="1"/>
    <x v="0"/>
    <x v="1"/>
    <d v="2014-05-12T00:00:00"/>
    <d v="1978-10-29T00:00:00"/>
    <x v="1"/>
    <n v="11645"/>
    <n v="0.8"/>
    <n v="0.62"/>
    <n v="47"/>
    <n v="12"/>
    <n v="0.71"/>
    <n v="-0.18000000000000005"/>
    <x v="0"/>
    <x v="1"/>
    <x v="1"/>
    <x v="1"/>
    <x v="0"/>
  </r>
  <r>
    <n v="2"/>
    <n v="28127"/>
    <x v="24"/>
    <x v="2"/>
    <x v="1"/>
    <x v="1"/>
    <d v="2012-01-11T00:00:00"/>
    <d v="1965-09-04T00:00:00"/>
    <x v="2"/>
    <n v="21575"/>
    <n v="0.86"/>
    <n v="0.87"/>
    <n v="60"/>
    <n v="14"/>
    <n v="0.86499999999999999"/>
    <n v="1.0000000000000009E-2"/>
    <x v="1"/>
    <x v="0"/>
    <x v="1"/>
    <x v="1"/>
    <x v="1"/>
  </r>
  <r>
    <n v="14"/>
    <n v="26422"/>
    <x v="25"/>
    <x v="3"/>
    <x v="1"/>
    <x v="0"/>
    <d v="2005-02-15T00:00:00"/>
    <d v="1963-11-18T00:00:00"/>
    <x v="0"/>
    <n v="19023"/>
    <n v="0.78"/>
    <n v="0.89"/>
    <n v="62"/>
    <n v="21"/>
    <n v="0.83499999999999996"/>
    <n v="0.10999999999999999"/>
    <x v="1"/>
    <x v="1"/>
    <x v="0"/>
    <x v="0"/>
    <x v="1"/>
  </r>
  <r>
    <n v="15"/>
    <n v="26414"/>
    <x v="19"/>
    <x v="4"/>
    <x v="1"/>
    <x v="1"/>
    <d v="2010-04-24T00:00:00"/>
    <d v="1972-05-16T00:00:00"/>
    <x v="0"/>
    <n v="12801"/>
    <n v="0.75"/>
    <n v="0.76"/>
    <n v="54"/>
    <n v="16"/>
    <n v="0.755"/>
    <n v="1.0000000000000009E-2"/>
    <x v="0"/>
    <x v="1"/>
    <x v="0"/>
    <x v="0"/>
    <x v="1"/>
  </r>
  <r>
    <n v="24"/>
    <n v="30352"/>
    <x v="26"/>
    <x v="4"/>
    <x v="1"/>
    <x v="0"/>
    <d v="2016-04-23T00:00:00"/>
    <d v="1970-12-22T00:00:00"/>
    <x v="0"/>
    <n v="16742"/>
    <n v="0.87"/>
    <n v="0.87"/>
    <n v="55"/>
    <n v="10"/>
    <n v="0.87"/>
    <n v="0"/>
    <x v="1"/>
    <x v="1"/>
    <x v="1"/>
    <x v="1"/>
    <x v="1"/>
  </r>
  <r>
    <n v="25"/>
    <n v="26726"/>
    <x v="20"/>
    <x v="4"/>
    <x v="1"/>
    <x v="0"/>
    <d v="2016-04-30T00:00:00"/>
    <d v="1983-09-28T00:00:00"/>
    <x v="0"/>
    <n v="15635"/>
    <n v="0.84"/>
    <n v="0.84"/>
    <n v="42"/>
    <n v="10"/>
    <n v="0.84"/>
    <n v="0"/>
    <x v="1"/>
    <x v="1"/>
    <x v="1"/>
    <x v="1"/>
    <x v="0"/>
  </r>
  <r>
    <n v="35"/>
    <n v="26431"/>
    <x v="27"/>
    <x v="3"/>
    <x v="1"/>
    <x v="1"/>
    <d v="2017-04-08T00:00:00"/>
    <d v="1984-02-21T00:00:00"/>
    <x v="0"/>
    <n v="20897"/>
    <n v="0.83"/>
    <n v="0.67"/>
    <n v="42"/>
    <n v="9"/>
    <n v="0.75"/>
    <n v="-0.15999999999999992"/>
    <x v="0"/>
    <x v="0"/>
    <x v="2"/>
    <x v="2"/>
    <x v="0"/>
  </r>
  <r>
    <n v="36"/>
    <n v="26396"/>
    <x v="28"/>
    <x v="4"/>
    <x v="1"/>
    <x v="2"/>
    <d v="2013-09-10T00:00:00"/>
    <d v="1975-08-01T00:00:00"/>
    <x v="0"/>
    <n v="15730"/>
    <n v="0.86"/>
    <n v="0.53"/>
    <n v="50"/>
    <n v="12"/>
    <n v="0.69500000000000006"/>
    <n v="-0.32999999999999996"/>
    <x v="0"/>
    <x v="1"/>
    <x v="1"/>
    <x v="1"/>
    <x v="1"/>
  </r>
  <r>
    <n v="44"/>
    <n v="26445"/>
    <x v="21"/>
    <x v="4"/>
    <x v="1"/>
    <x v="1"/>
    <d v="2008-08-11T00:00:00"/>
    <d v="1969-10-20T00:00:00"/>
    <x v="0"/>
    <n v="16861"/>
    <n v="0.87"/>
    <n v="0.52"/>
    <n v="56"/>
    <n v="17"/>
    <n v="0.69500000000000006"/>
    <n v="-0.35"/>
    <x v="0"/>
    <x v="1"/>
    <x v="0"/>
    <x v="0"/>
    <x v="1"/>
  </r>
  <r>
    <n v="45"/>
    <n v="26400"/>
    <x v="22"/>
    <x v="4"/>
    <x v="1"/>
    <x v="0"/>
    <d v="2015-03-21T00:00:00"/>
    <d v="1970-10-15T00:00:00"/>
    <x v="0"/>
    <n v="5067"/>
    <n v="0.86"/>
    <n v="0.94"/>
    <n v="55"/>
    <n v="11"/>
    <n v="0.89999999999999991"/>
    <n v="7.999999999999996E-2"/>
    <x v="1"/>
    <x v="2"/>
    <x v="1"/>
    <x v="1"/>
    <x v="1"/>
  </r>
  <r>
    <n v="53"/>
    <n v="26443"/>
    <x v="4"/>
    <x v="4"/>
    <x v="1"/>
    <x v="1"/>
    <d v="2008-07-12T00:00:00"/>
    <d v="1970-02-09T00:00:00"/>
    <x v="0"/>
    <n v="12903"/>
    <n v="0.77"/>
    <n v="0.75"/>
    <n v="56"/>
    <n v="17"/>
    <n v="0.76"/>
    <n v="-2.0000000000000018E-2"/>
    <x v="0"/>
    <x v="1"/>
    <x v="0"/>
    <x v="0"/>
    <x v="1"/>
  </r>
  <r>
    <n v="63"/>
    <n v="26610"/>
    <x v="29"/>
    <x v="3"/>
    <x v="1"/>
    <x v="0"/>
    <d v="2018-01-21T00:00:00"/>
    <d v="1974-06-20T00:00:00"/>
    <x v="0"/>
    <n v="4388"/>
    <n v="0.86"/>
    <n v="0.47"/>
    <n v="52"/>
    <n v="8"/>
    <n v="0.66500000000000004"/>
    <n v="-0.39"/>
    <x v="0"/>
    <x v="3"/>
    <x v="2"/>
    <x v="2"/>
    <x v="1"/>
  </r>
  <r>
    <n v="64"/>
    <n v="26404"/>
    <x v="30"/>
    <x v="4"/>
    <x v="1"/>
    <x v="0"/>
    <d v="2018-12-29T00:00:00"/>
    <d v="1974-05-18T00:00:00"/>
    <x v="0"/>
    <n v="15454"/>
    <n v="0.87"/>
    <n v="0.94"/>
    <n v="52"/>
    <n v="7"/>
    <n v="0.90500000000000003"/>
    <n v="6.9999999999999951E-2"/>
    <x v="1"/>
    <x v="1"/>
    <x v="2"/>
    <x v="2"/>
    <x v="1"/>
  </r>
  <r>
    <n v="65"/>
    <n v="26402"/>
    <x v="31"/>
    <x v="4"/>
    <x v="1"/>
    <x v="1"/>
    <d v="2003-02-24T00:00:00"/>
    <d v="1968-10-13T00:00:00"/>
    <x v="0"/>
    <n v="24472"/>
    <n v="0.84"/>
    <n v="0.52"/>
    <n v="57"/>
    <n v="23"/>
    <n v="0.67999999999999994"/>
    <n v="-0.31999999999999995"/>
    <x v="0"/>
    <x v="0"/>
    <x v="0"/>
    <x v="0"/>
    <x v="1"/>
  </r>
  <r>
    <n v="66"/>
    <n v="26427"/>
    <x v="11"/>
    <x v="4"/>
    <x v="1"/>
    <x v="1"/>
    <d v="2003-07-15T00:00:00"/>
    <d v="1964-11-27T00:00:00"/>
    <x v="0"/>
    <n v="15992"/>
    <n v="0.82"/>
    <n v="0.91"/>
    <n v="61"/>
    <n v="22"/>
    <n v="0.86499999999999999"/>
    <n v="9.000000000000008E-2"/>
    <x v="1"/>
    <x v="1"/>
    <x v="0"/>
    <x v="0"/>
    <x v="1"/>
  </r>
  <r>
    <n v="76"/>
    <n v="26999"/>
    <x v="0"/>
    <x v="3"/>
    <x v="1"/>
    <x v="1"/>
    <d v="2016-05-25T00:00:00"/>
    <d v="1966-08-13T00:00:00"/>
    <x v="0"/>
    <n v="21183"/>
    <n v="0.85"/>
    <n v="0.66"/>
    <n v="59"/>
    <n v="10"/>
    <n v="0.755"/>
    <n v="-0.18999999999999995"/>
    <x v="0"/>
    <x v="0"/>
    <x v="1"/>
    <x v="1"/>
    <x v="1"/>
  </r>
  <r>
    <n v="77"/>
    <n v="28929"/>
    <x v="18"/>
    <x v="4"/>
    <x v="1"/>
    <x v="1"/>
    <d v="2014-05-24T00:00:00"/>
    <d v="1969-11-25T00:00:00"/>
    <x v="0"/>
    <n v="22459"/>
    <n v="0.86"/>
    <n v="0.43"/>
    <n v="56"/>
    <n v="12"/>
    <n v="0.64500000000000002"/>
    <n v="-0.43"/>
    <x v="0"/>
    <x v="0"/>
    <x v="1"/>
    <x v="1"/>
    <x v="1"/>
  </r>
  <r>
    <n v="87"/>
    <n v="26447"/>
    <x v="4"/>
    <x v="3"/>
    <x v="1"/>
    <x v="0"/>
    <d v="2008-08-09T00:00:00"/>
    <d v="1980-05-01T00:00:00"/>
    <x v="0"/>
    <n v="2227"/>
    <n v="0.8"/>
    <n v="0.59"/>
    <n v="46"/>
    <n v="17"/>
    <n v="0.69500000000000006"/>
    <n v="-0.21000000000000008"/>
    <x v="0"/>
    <x v="3"/>
    <x v="0"/>
    <x v="0"/>
    <x v="0"/>
  </r>
  <r>
    <n v="88"/>
    <n v="28227"/>
    <x v="5"/>
    <x v="4"/>
    <x v="1"/>
    <x v="0"/>
    <d v="2008-11-15T00:00:00"/>
    <d v="1972-04-06T00:00:00"/>
    <x v="0"/>
    <n v="1673"/>
    <n v="0.78"/>
    <n v="0.78"/>
    <n v="54"/>
    <n v="17"/>
    <n v="0.78"/>
    <n v="0"/>
    <x v="0"/>
    <x v="3"/>
    <x v="0"/>
    <x v="0"/>
    <x v="1"/>
  </r>
  <r>
    <n v="3"/>
    <n v="26446"/>
    <x v="16"/>
    <x v="5"/>
    <x v="2"/>
    <x v="2"/>
    <d v="2013-08-12T00:00:00"/>
    <d v="1982-02-08T00:00:00"/>
    <x v="2"/>
    <n v="25000"/>
    <n v="0.8"/>
    <n v="0.9"/>
    <n v="44"/>
    <n v="12"/>
    <n v="0.85000000000000009"/>
    <n v="9.9999999999999978E-2"/>
    <x v="1"/>
    <x v="0"/>
    <x v="1"/>
    <x v="1"/>
    <x v="0"/>
  </r>
  <r>
    <n v="9"/>
    <n v="26412"/>
    <x v="22"/>
    <x v="6"/>
    <x v="2"/>
    <x v="1"/>
    <d v="2008-11-15T00:00:00"/>
    <d v="1984-02-21T00:00:00"/>
    <x v="0"/>
    <n v="11492"/>
    <n v="0.81"/>
    <n v="0.77"/>
    <n v="42"/>
    <n v="17"/>
    <n v="0.79"/>
    <n v="-4.0000000000000036E-2"/>
    <x v="0"/>
    <x v="1"/>
    <x v="0"/>
    <x v="0"/>
    <x v="0"/>
  </r>
  <r>
    <n v="30"/>
    <n v="25905"/>
    <x v="31"/>
    <x v="6"/>
    <x v="2"/>
    <x v="0"/>
    <d v="2014-04-20T00:00:00"/>
    <d v="1964-11-07T00:00:00"/>
    <x v="0"/>
    <n v="5578"/>
    <n v="0.76"/>
    <n v="0.97"/>
    <n v="61"/>
    <n v="12"/>
    <n v="0.86499999999999999"/>
    <n v="0.20999999999999996"/>
    <x v="1"/>
    <x v="2"/>
    <x v="1"/>
    <x v="1"/>
    <x v="1"/>
  </r>
  <r>
    <n v="50"/>
    <n v="30350"/>
    <x v="25"/>
    <x v="6"/>
    <x v="2"/>
    <x v="1"/>
    <d v="2003-07-15T00:00:00"/>
    <d v="1969-12-02T00:00:00"/>
    <x v="0"/>
    <n v="6348"/>
    <n v="0.76"/>
    <n v="0.69"/>
    <n v="56"/>
    <n v="22"/>
    <n v="0.72499999999999998"/>
    <n v="-7.0000000000000062E-2"/>
    <x v="0"/>
    <x v="2"/>
    <x v="0"/>
    <x v="0"/>
    <x v="1"/>
  </r>
  <r>
    <n v="58"/>
    <n v="30349"/>
    <x v="9"/>
    <x v="6"/>
    <x v="2"/>
    <x v="2"/>
    <d v="2016-08-16T00:00:00"/>
    <d v="1970-11-04T00:00:00"/>
    <x v="0"/>
    <n v="1952"/>
    <n v="0.83"/>
    <n v="0.76"/>
    <n v="55"/>
    <n v="9"/>
    <n v="0.79499999999999993"/>
    <n v="-6.9999999999999951E-2"/>
    <x v="0"/>
    <x v="3"/>
    <x v="2"/>
    <x v="2"/>
    <x v="1"/>
  </r>
  <r>
    <n v="71"/>
    <n v="30460"/>
    <x v="13"/>
    <x v="6"/>
    <x v="2"/>
    <x v="1"/>
    <d v="2011-05-17T00:00:00"/>
    <d v="1976-12-06T00:00:00"/>
    <x v="0"/>
    <n v="18214"/>
    <n v="0.78"/>
    <n v="0.64"/>
    <n v="49"/>
    <n v="15"/>
    <n v="0.71"/>
    <n v="-0.14000000000000001"/>
    <x v="0"/>
    <x v="1"/>
    <x v="0"/>
    <x v="0"/>
    <x v="0"/>
  </r>
  <r>
    <n v="1"/>
    <n v="26434"/>
    <x v="15"/>
    <x v="7"/>
    <x v="3"/>
    <x v="1"/>
    <d v="2006-11-15T00:00:00"/>
    <d v="1980-11-12T00:00:00"/>
    <x v="0"/>
    <n v="20500"/>
    <n v="0.82"/>
    <n v="0.86"/>
    <n v="45"/>
    <n v="19"/>
    <n v="0.84"/>
    <n v="4.0000000000000036E-2"/>
    <x v="1"/>
    <x v="0"/>
    <x v="0"/>
    <x v="0"/>
    <x v="0"/>
  </r>
  <r>
    <n v="6"/>
    <n v="27154"/>
    <x v="18"/>
    <x v="8"/>
    <x v="3"/>
    <x v="1"/>
    <d v="2001-08-18T00:00:00"/>
    <d v="1966-07-08T00:00:00"/>
    <x v="0"/>
    <n v="17233"/>
    <n v="0.89"/>
    <n v="0.41"/>
    <n v="59"/>
    <n v="24"/>
    <n v="0.65"/>
    <n v="-0.48000000000000004"/>
    <x v="0"/>
    <x v="1"/>
    <x v="0"/>
    <x v="0"/>
    <x v="1"/>
  </r>
  <r>
    <n v="7"/>
    <n v="27008"/>
    <x v="32"/>
    <x v="9"/>
    <x v="3"/>
    <x v="2"/>
    <d v="2003-05-17T00:00:00"/>
    <d v="1982-09-01T00:00:00"/>
    <x v="0"/>
    <n v="19987"/>
    <n v="0.76"/>
    <n v="0.55000000000000004"/>
    <n v="43"/>
    <n v="23"/>
    <n v="0.65500000000000003"/>
    <n v="-0.20999999999999996"/>
    <x v="0"/>
    <x v="1"/>
    <x v="0"/>
    <x v="0"/>
    <x v="0"/>
  </r>
  <r>
    <n v="8"/>
    <n v="27621"/>
    <x v="21"/>
    <x v="10"/>
    <x v="3"/>
    <x v="0"/>
    <d v="2008-06-01T00:00:00"/>
    <d v="1981-02-08T00:00:00"/>
    <x v="0"/>
    <n v="23537"/>
    <n v="0.87"/>
    <n v="0.69"/>
    <n v="45"/>
    <n v="18"/>
    <n v="0.78"/>
    <n v="-0.18000000000000005"/>
    <x v="0"/>
    <x v="0"/>
    <x v="0"/>
    <x v="0"/>
    <x v="0"/>
  </r>
  <r>
    <n v="26"/>
    <n v="27374"/>
    <x v="33"/>
    <x v="9"/>
    <x v="3"/>
    <x v="1"/>
    <d v="2016-05-01T00:00:00"/>
    <d v="1975-07-28T00:00:00"/>
    <x v="0"/>
    <n v="7935"/>
    <n v="0.83"/>
    <n v="0.41"/>
    <n v="50"/>
    <n v="10"/>
    <n v="0.62"/>
    <n v="-0.42"/>
    <x v="0"/>
    <x v="2"/>
    <x v="1"/>
    <x v="1"/>
    <x v="1"/>
  </r>
  <r>
    <n v="27"/>
    <n v="29368"/>
    <x v="34"/>
    <x v="8"/>
    <x v="3"/>
    <x v="2"/>
    <d v="2016-05-25T00:00:00"/>
    <d v="1973-11-14T00:00:00"/>
    <x v="0"/>
    <n v="20121"/>
    <n v="0.8"/>
    <n v="0.64"/>
    <n v="52"/>
    <n v="10"/>
    <n v="0.72"/>
    <n v="-0.16000000000000003"/>
    <x v="0"/>
    <x v="0"/>
    <x v="1"/>
    <x v="1"/>
    <x v="1"/>
  </r>
  <r>
    <n v="28"/>
    <n v="27092"/>
    <x v="29"/>
    <x v="9"/>
    <x v="3"/>
    <x v="1"/>
    <d v="2016-08-15T00:00:00"/>
    <d v="1981-04-12T00:00:00"/>
    <x v="0"/>
    <n v="16408"/>
    <n v="0.76"/>
    <n v="0.91"/>
    <n v="45"/>
    <n v="9"/>
    <n v="0.83499999999999996"/>
    <n v="0.15000000000000002"/>
    <x v="1"/>
    <x v="1"/>
    <x v="2"/>
    <x v="2"/>
    <x v="0"/>
  </r>
  <r>
    <n v="29"/>
    <n v="26429"/>
    <x v="30"/>
    <x v="10"/>
    <x v="3"/>
    <x v="2"/>
    <d v="1995-11-26T00:00:00"/>
    <d v="1982-08-15T00:00:00"/>
    <x v="0"/>
    <n v="2323"/>
    <n v="0.83"/>
    <n v="0.75"/>
    <n v="43"/>
    <n v="30"/>
    <n v="0.79"/>
    <n v="-7.999999999999996E-2"/>
    <x v="0"/>
    <x v="3"/>
    <x v="0"/>
    <x v="0"/>
    <x v="0"/>
  </r>
  <r>
    <n v="46"/>
    <n v="26994"/>
    <x v="1"/>
    <x v="9"/>
    <x v="3"/>
    <x v="1"/>
    <d v="1998-03-01T00:00:00"/>
    <d v="1965-12-15T00:00:00"/>
    <x v="0"/>
    <n v="6553"/>
    <n v="0.75"/>
    <n v="0.75"/>
    <n v="60"/>
    <n v="28"/>
    <n v="0.75"/>
    <n v="0"/>
    <x v="0"/>
    <x v="2"/>
    <x v="0"/>
    <x v="0"/>
    <x v="1"/>
  </r>
  <r>
    <n v="47"/>
    <n v="27007"/>
    <x v="2"/>
    <x v="8"/>
    <x v="3"/>
    <x v="1"/>
    <d v="2000-01-19T00:00:00"/>
    <d v="1977-10-25T00:00:00"/>
    <x v="0"/>
    <n v="13054"/>
    <n v="0.82"/>
    <n v="0.48"/>
    <n v="48"/>
    <n v="26"/>
    <n v="0.64999999999999991"/>
    <n v="-0.33999999999999997"/>
    <x v="0"/>
    <x v="1"/>
    <x v="0"/>
    <x v="0"/>
    <x v="0"/>
  </r>
  <r>
    <n v="48"/>
    <n v="26424"/>
    <x v="23"/>
    <x v="9"/>
    <x v="3"/>
    <x v="1"/>
    <d v="2001-08-15T00:00:00"/>
    <d v="1974-04-11T00:00:00"/>
    <x v="0"/>
    <n v="20909"/>
    <n v="0.88"/>
    <n v="0.46"/>
    <n v="52"/>
    <n v="24"/>
    <n v="0.67"/>
    <n v="-0.42"/>
    <x v="0"/>
    <x v="0"/>
    <x v="0"/>
    <x v="0"/>
    <x v="1"/>
  </r>
  <r>
    <n v="49"/>
    <n v="26415"/>
    <x v="35"/>
    <x v="10"/>
    <x v="3"/>
    <x v="2"/>
    <d v="2002-07-23T00:00:00"/>
    <d v="1969-08-12T00:00:00"/>
    <x v="0"/>
    <n v="23771"/>
    <n v="0.88"/>
    <n v="0.63"/>
    <n v="56"/>
    <n v="23"/>
    <n v="0.755"/>
    <n v="-0.25"/>
    <x v="0"/>
    <x v="0"/>
    <x v="0"/>
    <x v="0"/>
    <x v="1"/>
  </r>
  <r>
    <n v="54"/>
    <n v="27143"/>
    <x v="5"/>
    <x v="9"/>
    <x v="3"/>
    <x v="1"/>
    <d v="2014-04-19T00:00:00"/>
    <d v="1969-08-19T00:00:00"/>
    <x v="0"/>
    <n v="8529"/>
    <n v="0.83"/>
    <n v="0.77"/>
    <n v="56"/>
    <n v="12"/>
    <n v="0.8"/>
    <n v="-5.9999999999999942E-2"/>
    <x v="1"/>
    <x v="2"/>
    <x v="1"/>
    <x v="1"/>
    <x v="1"/>
  </r>
  <r>
    <n v="55"/>
    <n v="27393"/>
    <x v="6"/>
    <x v="8"/>
    <x v="3"/>
    <x v="0"/>
    <d v="2014-12-04T00:00:00"/>
    <d v="1980-11-02T00:00:00"/>
    <x v="0"/>
    <n v="3453"/>
    <n v="0.87"/>
    <n v="0.83"/>
    <n v="45"/>
    <n v="11"/>
    <n v="0.85"/>
    <n v="-4.0000000000000036E-2"/>
    <x v="1"/>
    <x v="3"/>
    <x v="1"/>
    <x v="1"/>
    <x v="0"/>
  </r>
  <r>
    <n v="56"/>
    <n v="30351"/>
    <x v="7"/>
    <x v="9"/>
    <x v="3"/>
    <x v="0"/>
    <d v="2015-02-18T00:00:00"/>
    <d v="1974-03-10T00:00:00"/>
    <x v="0"/>
    <n v="14170"/>
    <n v="0.77"/>
    <n v="0.89"/>
    <n v="52"/>
    <n v="11"/>
    <n v="0.83000000000000007"/>
    <n v="0.12"/>
    <x v="1"/>
    <x v="1"/>
    <x v="1"/>
    <x v="1"/>
    <x v="1"/>
  </r>
  <r>
    <n v="57"/>
    <n v="26441"/>
    <x v="8"/>
    <x v="10"/>
    <x v="3"/>
    <x v="2"/>
    <d v="2016-08-15T00:00:00"/>
    <d v="1984-11-01T00:00:00"/>
    <x v="0"/>
    <n v="3254"/>
    <n v="0.81"/>
    <n v="0.85"/>
    <n v="41"/>
    <n v="9"/>
    <n v="0.83000000000000007"/>
    <n v="3.9999999999999925E-2"/>
    <x v="1"/>
    <x v="3"/>
    <x v="2"/>
    <x v="2"/>
    <x v="0"/>
  </r>
  <r>
    <n v="67"/>
    <n v="27009"/>
    <x v="12"/>
    <x v="9"/>
    <x v="3"/>
    <x v="0"/>
    <d v="2006-04-09T00:00:00"/>
    <d v="1967-11-05T00:00:00"/>
    <x v="0"/>
    <n v="5735"/>
    <n v="0.82"/>
    <n v="0.69"/>
    <n v="58"/>
    <n v="20"/>
    <n v="0.75499999999999989"/>
    <n v="-0.13"/>
    <x v="0"/>
    <x v="2"/>
    <x v="0"/>
    <x v="0"/>
    <x v="1"/>
  </r>
  <r>
    <n v="68"/>
    <n v="26428"/>
    <x v="36"/>
    <x v="8"/>
    <x v="3"/>
    <x v="0"/>
    <d v="2007-08-04T00:00:00"/>
    <d v="1970-01-04T00:00:00"/>
    <x v="0"/>
    <n v="2725"/>
    <n v="0.8"/>
    <n v="0.54"/>
    <n v="56"/>
    <n v="18"/>
    <n v="0.67"/>
    <n v="-0.26"/>
    <x v="0"/>
    <x v="3"/>
    <x v="0"/>
    <x v="0"/>
    <x v="1"/>
  </r>
  <r>
    <n v="69"/>
    <n v="26417"/>
    <x v="37"/>
    <x v="9"/>
    <x v="3"/>
    <x v="1"/>
    <d v="2008-10-04T00:00:00"/>
    <d v="1971-02-17T00:00:00"/>
    <x v="0"/>
    <n v="5909"/>
    <n v="0.76"/>
    <n v="0.43"/>
    <n v="55"/>
    <n v="17"/>
    <n v="0.59499999999999997"/>
    <n v="-0.33"/>
    <x v="2"/>
    <x v="2"/>
    <x v="0"/>
    <x v="0"/>
    <x v="1"/>
  </r>
  <r>
    <n v="70"/>
    <n v="27150"/>
    <x v="28"/>
    <x v="10"/>
    <x v="3"/>
    <x v="1"/>
    <d v="2010-01-02T00:00:00"/>
    <d v="1964-12-15T00:00:00"/>
    <x v="0"/>
    <n v="11445"/>
    <n v="0.8"/>
    <n v="0.57999999999999996"/>
    <n v="61"/>
    <n v="16"/>
    <n v="0.69"/>
    <n v="-0.22000000000000008"/>
    <x v="0"/>
    <x v="1"/>
    <x v="0"/>
    <x v="0"/>
    <x v="1"/>
  </r>
  <r>
    <n v="83"/>
    <n v="26399"/>
    <x v="35"/>
    <x v="8"/>
    <x v="3"/>
    <x v="1"/>
    <d v="2002-01-26T00:00:00"/>
    <d v="1982-04-01T00:00:00"/>
    <x v="0"/>
    <n v="6834"/>
    <n v="0.83"/>
    <n v="0.64"/>
    <n v="44"/>
    <n v="24"/>
    <n v="0.73499999999999999"/>
    <n v="-0.18999999999999995"/>
    <x v="0"/>
    <x v="2"/>
    <x v="0"/>
    <x v="0"/>
    <x v="0"/>
  </r>
  <r>
    <n v="84"/>
    <n v="26442"/>
    <x v="25"/>
    <x v="9"/>
    <x v="3"/>
    <x v="0"/>
    <d v="2003-12-20T00:00:00"/>
    <d v="1968-05-11T00:00:00"/>
    <x v="0"/>
    <n v="1860"/>
    <n v="0.89"/>
    <n v="0.94"/>
    <n v="58"/>
    <n v="22"/>
    <n v="0.91500000000000004"/>
    <n v="4.9999999999999933E-2"/>
    <x v="1"/>
    <x v="3"/>
    <x v="0"/>
    <x v="0"/>
    <x v="1"/>
  </r>
  <r>
    <n v="85"/>
    <n v="25908"/>
    <x v="19"/>
    <x v="10"/>
    <x v="3"/>
    <x v="0"/>
    <d v="2005-02-20T00:00:00"/>
    <d v="1972-11-15T00:00:00"/>
    <x v="0"/>
    <n v="8730"/>
    <n v="0.88"/>
    <n v="0.95"/>
    <n v="53"/>
    <n v="21"/>
    <n v="0.91500000000000004"/>
    <n v="6.9999999999999951E-2"/>
    <x v="1"/>
    <x v="2"/>
    <x v="0"/>
    <x v="0"/>
    <x v="1"/>
  </r>
  <r>
    <n v="4"/>
    <n v="29769"/>
    <x v="17"/>
    <x v="11"/>
    <x v="4"/>
    <x v="0"/>
    <d v="2013-08-13T00:00:00"/>
    <d v="1972-07-14T00:00:00"/>
    <x v="2"/>
    <n v="26520"/>
    <n v="0.81"/>
    <n v="0.66"/>
    <n v="53"/>
    <n v="12"/>
    <n v="0.7350000000000001"/>
    <n v="-0.15000000000000002"/>
    <x v="0"/>
    <x v="0"/>
    <x v="1"/>
    <x v="1"/>
    <x v="1"/>
  </r>
  <r>
    <n v="12"/>
    <n v="26401"/>
    <x v="23"/>
    <x v="12"/>
    <x v="4"/>
    <x v="0"/>
    <d v="2016-04-17T00:00:00"/>
    <d v="1970-05-29T00:00:00"/>
    <x v="0"/>
    <n v="16455"/>
    <n v="0.75"/>
    <n v="0.92"/>
    <n v="56"/>
    <n v="10"/>
    <n v="0.83499999999999996"/>
    <n v="0.17000000000000004"/>
    <x v="1"/>
    <x v="1"/>
    <x v="1"/>
    <x v="1"/>
    <x v="1"/>
  </r>
  <r>
    <n v="13"/>
    <n v="26435"/>
    <x v="35"/>
    <x v="12"/>
    <x v="4"/>
    <x v="2"/>
    <d v="2001-08-28T00:00:00"/>
    <d v="1962-09-21T00:00:00"/>
    <x v="0"/>
    <n v="4981"/>
    <n v="0.77"/>
    <n v="0.86"/>
    <n v="63"/>
    <n v="24"/>
    <n v="0.81499999999999995"/>
    <n v="8.9999999999999969E-2"/>
    <x v="1"/>
    <x v="3"/>
    <x v="0"/>
    <x v="0"/>
    <x v="1"/>
  </r>
  <r>
    <n v="33"/>
    <n v="26410"/>
    <x v="36"/>
    <x v="12"/>
    <x v="4"/>
    <x v="2"/>
    <d v="2016-02-17T00:00:00"/>
    <d v="1975-08-20T00:00:00"/>
    <x v="0"/>
    <n v="3165"/>
    <n v="0.84"/>
    <n v="0.78"/>
    <n v="50"/>
    <n v="10"/>
    <n v="0.81"/>
    <n v="-5.9999999999999942E-2"/>
    <x v="1"/>
    <x v="3"/>
    <x v="1"/>
    <x v="1"/>
    <x v="1"/>
  </r>
  <r>
    <n v="34"/>
    <n v="27385"/>
    <x v="37"/>
    <x v="12"/>
    <x v="4"/>
    <x v="1"/>
    <d v="2016-04-02T00:00:00"/>
    <d v="1967-11-09T00:00:00"/>
    <x v="0"/>
    <n v="20883"/>
    <n v="0.85"/>
    <n v="0.76"/>
    <n v="58"/>
    <n v="10"/>
    <n v="0.80499999999999994"/>
    <n v="-8.9999999999999969E-2"/>
    <x v="1"/>
    <x v="0"/>
    <x v="1"/>
    <x v="1"/>
    <x v="1"/>
  </r>
  <r>
    <n v="61"/>
    <n v="26389"/>
    <x v="33"/>
    <x v="12"/>
    <x v="4"/>
    <x v="0"/>
    <d v="2017-12-02T00:00:00"/>
    <d v="1959-05-25T00:00:00"/>
    <x v="0"/>
    <n v="13380"/>
    <n v="0.8"/>
    <n v="0.72"/>
    <n v="67"/>
    <n v="8"/>
    <n v="0.76"/>
    <n v="-8.0000000000000071E-2"/>
    <x v="0"/>
    <x v="1"/>
    <x v="2"/>
    <x v="2"/>
    <x v="1"/>
  </r>
  <r>
    <n v="62"/>
    <n v="30459"/>
    <x v="34"/>
    <x v="12"/>
    <x v="4"/>
    <x v="2"/>
    <d v="2018-12-10T00:00:00"/>
    <d v="1969-08-23T00:00:00"/>
    <x v="0"/>
    <n v="18856"/>
    <n v="0.81"/>
    <n v="0.48"/>
    <n v="56"/>
    <n v="7"/>
    <n v="0.64500000000000002"/>
    <n v="-0.33000000000000007"/>
    <x v="0"/>
    <x v="1"/>
    <x v="2"/>
    <x v="2"/>
    <x v="1"/>
  </r>
  <r>
    <n v="74"/>
    <n v="27780"/>
    <x v="16"/>
    <x v="12"/>
    <x v="4"/>
    <x v="2"/>
    <d v="2016-02-03T00:00:00"/>
    <d v="1983-05-09T00:00:00"/>
    <x v="0"/>
    <n v="13891"/>
    <n v="0.86"/>
    <n v="0.97"/>
    <n v="43"/>
    <n v="10"/>
    <n v="0.91500000000000004"/>
    <n v="0.10999999999999999"/>
    <x v="1"/>
    <x v="1"/>
    <x v="1"/>
    <x v="1"/>
    <x v="0"/>
  </r>
  <r>
    <n v="75"/>
    <n v="25907"/>
    <x v="17"/>
    <x v="12"/>
    <x v="4"/>
    <x v="1"/>
    <d v="2016-02-17T00:00:00"/>
    <d v="1977-02-01T00:00:00"/>
    <x v="0"/>
    <n v="19451"/>
    <n v="0.77"/>
    <n v="0.63"/>
    <n v="49"/>
    <n v="10"/>
    <n v="0.7"/>
    <n v="-0.14000000000000001"/>
    <x v="0"/>
    <x v="1"/>
    <x v="1"/>
    <x v="1"/>
    <x v="0"/>
  </r>
  <r>
    <n v="86"/>
    <n v="27144"/>
    <x v="3"/>
    <x v="12"/>
    <x v="4"/>
    <x v="0"/>
    <d v="2007-01-20T00:00:00"/>
    <d v="1967-12-01T00:00:00"/>
    <x v="0"/>
    <n v="2185"/>
    <n v="0.79"/>
    <n v="0.65"/>
    <n v="58"/>
    <n v="19"/>
    <n v="0.72"/>
    <n v="-0.14000000000000001"/>
    <x v="0"/>
    <x v="3"/>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772258-5401-4D9E-BAC9-FECEF6B2C128}"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Job Title">
  <location ref="H2:I25" firstHeaderRow="1" firstDataRow="1" firstDataCol="1"/>
  <pivotFields count="21">
    <pivotField showAll="0"/>
    <pivotField showAll="0"/>
    <pivotField showAll="0"/>
    <pivotField axis="axisRow" showAll="0">
      <items count="14">
        <item x="12"/>
        <item x="3"/>
        <item x="11"/>
        <item x="10"/>
        <item sd="0" x="7"/>
        <item sd="0" x="8"/>
        <item sd="0" x="5"/>
        <item sd="0" x="2"/>
        <item sd="0" x="4"/>
        <item sd="0" x="9"/>
        <item sd="0" x="0"/>
        <item sd="0" x="1"/>
        <item sd="0" x="6"/>
        <item t="default"/>
      </items>
    </pivotField>
    <pivotField showAll="0">
      <items count="6">
        <item x="4"/>
        <item x="3"/>
        <item x="2"/>
        <item x="1"/>
        <item x="0"/>
        <item t="default"/>
      </items>
    </pivotField>
    <pivotField axis="axisRow" showAll="0">
      <items count="6">
        <item x="1"/>
        <item m="1" x="4"/>
        <item x="0"/>
        <item m="1" x="3"/>
        <item x="2"/>
        <item t="default"/>
      </items>
    </pivotField>
    <pivotField numFmtId="14" showAll="0"/>
    <pivotField numFmtId="14" showAll="0"/>
    <pivotField showAll="0">
      <items count="4">
        <item x="0"/>
        <item x="1"/>
        <item x="2"/>
        <item t="default"/>
      </items>
    </pivotField>
    <pivotField dataField="1"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2">
    <field x="3"/>
    <field x="5"/>
  </rowFields>
  <rowItems count="23">
    <i>
      <x/>
    </i>
    <i r="1">
      <x/>
    </i>
    <i r="1">
      <x v="2"/>
    </i>
    <i r="1">
      <x v="4"/>
    </i>
    <i>
      <x v="1"/>
    </i>
    <i r="1">
      <x/>
    </i>
    <i r="1">
      <x v="2"/>
    </i>
    <i>
      <x v="2"/>
    </i>
    <i r="1">
      <x v="2"/>
    </i>
    <i>
      <x v="3"/>
    </i>
    <i r="1">
      <x/>
    </i>
    <i r="1">
      <x v="2"/>
    </i>
    <i r="1">
      <x v="4"/>
    </i>
    <i>
      <x v="4"/>
    </i>
    <i>
      <x v="5"/>
    </i>
    <i>
      <x v="6"/>
    </i>
    <i>
      <x v="7"/>
    </i>
    <i>
      <x v="8"/>
    </i>
    <i>
      <x v="9"/>
    </i>
    <i>
      <x v="10"/>
    </i>
    <i>
      <x v="11"/>
    </i>
    <i>
      <x v="12"/>
    </i>
    <i t="grand">
      <x/>
    </i>
  </rowItems>
  <colItems count="1">
    <i/>
  </colItems>
  <dataFields count="1">
    <dataField name="Total Salary" fld="9" baseField="5" baseItem="0"/>
  </dataFields>
  <formats count="1">
    <format dxfId="2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E61A6E-6CF6-45B6-AB20-3AAC52EDFDDB}"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Location">
  <location ref="F29:G33" firstHeaderRow="1" firstDataRow="1" firstDataCol="1"/>
  <pivotFields count="21">
    <pivotField showAll="0"/>
    <pivotField dataField="1"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axis="axisRow"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5"/>
  </rowFields>
  <rowItems count="4">
    <i>
      <x/>
    </i>
    <i>
      <x v="2"/>
    </i>
    <i>
      <x v="4"/>
    </i>
    <i t="grand">
      <x/>
    </i>
  </rowItems>
  <colItems count="1">
    <i/>
  </colItems>
  <dataFields count="1">
    <dataField name="#Employees" fld="1" subtotal="count" baseField="5" baseItem="0"/>
  </dataFields>
  <formats count="1">
    <format dxfId="2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59205B-29A6-494C-9B40-3738D575E283}" name="PivotTable1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Job Title">
  <location ref="N2:O15" firstHeaderRow="1" firstDataRow="1" firstDataCol="1"/>
  <pivotFields count="21">
    <pivotField showAll="0"/>
    <pivotField dataField="1"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axis="axisRow" showAll="0">
      <items count="6">
        <item x="1"/>
        <item m="1" x="4"/>
        <item x="0"/>
        <item m="1" x="3"/>
        <item x="2"/>
        <item t="default"/>
      </items>
    </pivotField>
    <pivotField numFmtId="14" showAll="0"/>
    <pivotField numFmtId="14"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2">
    <field x="8"/>
    <field x="5"/>
  </rowFields>
  <rowItems count="13">
    <i>
      <x/>
    </i>
    <i r="1">
      <x/>
    </i>
    <i r="1">
      <x v="2"/>
    </i>
    <i r="1">
      <x v="4"/>
    </i>
    <i>
      <x v="1"/>
    </i>
    <i r="1">
      <x/>
    </i>
    <i r="1">
      <x v="2"/>
    </i>
    <i r="1">
      <x v="4"/>
    </i>
    <i>
      <x v="2"/>
    </i>
    <i r="1">
      <x/>
    </i>
    <i r="1">
      <x v="2"/>
    </i>
    <i r="1">
      <x v="4"/>
    </i>
    <i t="grand">
      <x/>
    </i>
  </rowItems>
  <colItems count="1">
    <i/>
  </colItems>
  <dataFields count="1">
    <dataField name="#Employees" fld="1" subtotal="count" baseField="3" baseItem="0" numFmtId="1"/>
  </dataFields>
  <formats count="1">
    <format dxfId="2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2DDFC7-9C13-4A16-B8DA-78951D397807}"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Job Title">
  <location ref="K2:L25" firstHeaderRow="1" firstDataRow="1" firstDataCol="1"/>
  <pivotFields count="21">
    <pivotField showAll="0"/>
    <pivotField dataField="1" showAll="0"/>
    <pivotField showAll="0"/>
    <pivotField axis="axisRow" showAll="0">
      <items count="14">
        <item x="12"/>
        <item x="3"/>
        <item x="11"/>
        <item x="10"/>
        <item sd="0" x="7"/>
        <item sd="0" x="8"/>
        <item sd="0" x="5"/>
        <item sd="0" x="2"/>
        <item sd="0" x="4"/>
        <item sd="0" x="9"/>
        <item sd="0" x="0"/>
        <item sd="0" x="1"/>
        <item sd="0" x="6"/>
        <item t="default"/>
      </items>
    </pivotField>
    <pivotField showAll="0">
      <items count="6">
        <item x="4"/>
        <item x="3"/>
        <item x="2"/>
        <item x="1"/>
        <item x="0"/>
        <item t="default"/>
      </items>
    </pivotField>
    <pivotField axis="axisRow"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2">
    <field x="3"/>
    <field x="5"/>
  </rowFields>
  <rowItems count="23">
    <i>
      <x/>
    </i>
    <i r="1">
      <x/>
    </i>
    <i r="1">
      <x v="2"/>
    </i>
    <i r="1">
      <x v="4"/>
    </i>
    <i>
      <x v="1"/>
    </i>
    <i r="1">
      <x/>
    </i>
    <i r="1">
      <x v="2"/>
    </i>
    <i>
      <x v="2"/>
    </i>
    <i r="1">
      <x v="2"/>
    </i>
    <i>
      <x v="3"/>
    </i>
    <i r="1">
      <x/>
    </i>
    <i r="1">
      <x v="2"/>
    </i>
    <i r="1">
      <x v="4"/>
    </i>
    <i>
      <x v="4"/>
    </i>
    <i>
      <x v="5"/>
    </i>
    <i>
      <x v="6"/>
    </i>
    <i>
      <x v="7"/>
    </i>
    <i>
      <x v="8"/>
    </i>
    <i>
      <x v="9"/>
    </i>
    <i>
      <x v="10"/>
    </i>
    <i>
      <x v="11"/>
    </i>
    <i>
      <x v="12"/>
    </i>
    <i t="grand">
      <x/>
    </i>
  </rowItems>
  <colItems count="1">
    <i/>
  </colItems>
  <dataFields count="1">
    <dataField name="#Employees" fld="1" subtotal="count" baseField="3" baseItem="0" numFmtId="1"/>
  </dataFields>
  <formats count="1">
    <format dxfId="2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07BE74-2DE4-4B03-8AEB-CD9B126BA4A8}" name="PivotTable1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Location">
  <location ref="E19:F23" firstHeaderRow="1" firstDataRow="1" firstDataCol="1"/>
  <pivotFields count="21">
    <pivotField showAll="0"/>
    <pivotField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axis="axisRow" showAll="0" sortType="descending">
      <items count="6">
        <item x="1"/>
        <item m="1" x="4"/>
        <item x="0"/>
        <item m="1" x="3"/>
        <item x="2"/>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items count="4">
        <item x="0"/>
        <item x="1"/>
        <item x="2"/>
        <item t="default"/>
      </items>
    </pivotField>
    <pivotField dataField="1"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5"/>
  </rowFields>
  <rowItems count="4">
    <i>
      <x/>
    </i>
    <i>
      <x v="2"/>
    </i>
    <i>
      <x v="4"/>
    </i>
    <i t="grand">
      <x/>
    </i>
  </rowItems>
  <colItems count="1">
    <i/>
  </colItems>
  <dataFields count="1">
    <dataField name="Total Salary" fld="9" baseField="5" baseItem="0" numFmtId="165"/>
  </dataFields>
  <formats count="1">
    <format dxfId="210">
      <pivotArea outline="0" collapsedLevelsAreSubtotals="1" fieldPosition="0"/>
    </format>
  </formats>
  <chartFormats count="1">
    <chartFormat chart="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66D7BA-56FF-435D-BAC7-271E2E89354B}" name="PivotTable1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Location">
  <location ref="E39:F43" firstHeaderRow="1" firstDataRow="1" firstDataCol="1"/>
  <pivotFields count="21">
    <pivotField showAll="0"/>
    <pivotField dataField="1"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8"/>
  </rowFields>
  <rowItems count="4">
    <i>
      <x/>
    </i>
    <i>
      <x v="1"/>
    </i>
    <i>
      <x v="2"/>
    </i>
    <i t="grand">
      <x/>
    </i>
  </rowItems>
  <colItems count="1">
    <i/>
  </colItems>
  <dataFields count="1">
    <dataField name="#Employees" fld="1" subtotal="count" showDataAs="percentOfTotal" baseField="5" baseItem="0" numFmtId="9"/>
  </dataFields>
  <formats count="2">
    <format dxfId="212">
      <pivotArea outline="0" fieldPosition="0">
        <references count="1">
          <reference field="4294967294" count="1">
            <x v="0"/>
          </reference>
        </references>
      </pivotArea>
    </format>
    <format dxfId="211">
      <pivotArea outline="0" collapsedLevelsAreSubtotals="1" fieldPosition="0"/>
    </format>
  </formats>
  <chartFormats count="4">
    <chartFormat chart="10" format="40" series="1">
      <pivotArea type="data" outline="0" fieldPosition="0">
        <references count="1">
          <reference field="4294967294" count="1" selected="0">
            <x v="0"/>
          </reference>
        </references>
      </pivotArea>
    </chartFormat>
    <chartFormat chart="10" format="41">
      <pivotArea type="data" outline="0" fieldPosition="0">
        <references count="2">
          <reference field="4294967294" count="1" selected="0">
            <x v="0"/>
          </reference>
          <reference field="8" count="1" selected="0">
            <x v="0"/>
          </reference>
        </references>
      </pivotArea>
    </chartFormat>
    <chartFormat chart="10" format="42">
      <pivotArea type="data" outline="0" fieldPosition="0">
        <references count="2">
          <reference field="4294967294" count="1" selected="0">
            <x v="0"/>
          </reference>
          <reference field="8" count="1" selected="0">
            <x v="1"/>
          </reference>
        </references>
      </pivotArea>
    </chartFormat>
    <chartFormat chart="10" format="4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EA7C83-F88C-42B3-8D9B-C428E532C561}"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Location">
  <location ref="A28:D32" firstHeaderRow="0" firstDataRow="1" firstDataCol="1"/>
  <pivotFields count="21">
    <pivotField showAll="0"/>
    <pivotField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axis="axisRow" showAll="0">
      <items count="6">
        <item x="1"/>
        <item m="1" x="4"/>
        <item x="0"/>
        <item m="1" x="3"/>
        <item x="2"/>
        <item t="default"/>
      </items>
    </pivotField>
    <pivotField numFmtId="14" showAll="0"/>
    <pivotField numFmtId="14" showAll="0"/>
    <pivotField showAll="0">
      <items count="4">
        <item x="0"/>
        <item x="1"/>
        <item x="2"/>
        <item t="default"/>
      </items>
    </pivotField>
    <pivotField dataField="1"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5"/>
  </rowFields>
  <rowItems count="4">
    <i>
      <x/>
    </i>
    <i>
      <x v="2"/>
    </i>
    <i>
      <x v="4"/>
    </i>
    <i t="grand">
      <x/>
    </i>
  </rowItems>
  <colFields count="1">
    <field x="-2"/>
  </colFields>
  <colItems count="3">
    <i>
      <x/>
    </i>
    <i i="1">
      <x v="1"/>
    </i>
    <i i="2">
      <x v="2"/>
    </i>
  </colItems>
  <dataFields count="3">
    <dataField name="Max Salary" fld="9" subtotal="max" baseField="5" baseItem="0"/>
    <dataField name="Min Salary" fld="9" subtotal="min" baseField="5" baseItem="0"/>
    <dataField name="Avg Salary" fld="9" subtotal="average" baseField="5" baseItem="0"/>
  </dataFields>
  <formats count="1">
    <format dxfId="213">
      <pivotArea outline="0" collapsedLevelsAreSubtotals="1" fieldPosition="0"/>
    </format>
  </formats>
  <chartFormats count="4">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2"/>
          </reference>
        </references>
      </pivotArea>
    </chartFormat>
    <chartFormat chart="7" format="13">
      <pivotArea type="data" outline="0" fieldPosition="0">
        <references count="2">
          <reference field="4294967294" count="1" selected="0">
            <x v="2"/>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C1C5F9-8E9F-4AC3-910F-29A230E8FD5D}"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F3" firstHeaderRow="0" firstDataRow="1" firstDataCol="0"/>
  <pivotFields count="21">
    <pivotField showAll="0"/>
    <pivotField dataField="1"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dataField="1" showAll="0"/>
    <pivotField showAll="0"/>
    <pivotField showAll="0"/>
    <pivotField showAll="0"/>
    <pivotField dataField="1"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Items count="1">
    <i/>
  </rowItems>
  <colFields count="1">
    <field x="-2"/>
  </colFields>
  <colItems count="6">
    <i>
      <x/>
    </i>
    <i i="1">
      <x v="1"/>
    </i>
    <i i="2">
      <x v="2"/>
    </i>
    <i i="3">
      <x v="3"/>
    </i>
    <i i="4">
      <x v="4"/>
    </i>
    <i i="5">
      <x v="5"/>
    </i>
  </colItems>
  <dataFields count="6">
    <dataField name="Min Salary" fld="9" subtotal="min" baseField="0" baseItem="3" numFmtId="165"/>
    <dataField name="Max Salary" fld="9" subtotal="max" baseField="0" baseItem="3" numFmtId="165"/>
    <dataField name="Avg Salries" fld="9" subtotal="average" baseField="0" baseItem="2" numFmtId="165"/>
    <dataField name="Total Salries" fld="9" baseField="0" baseItem="0" numFmtId="165"/>
    <dataField name="Average Experience" fld="13" subtotal="average" baseField="0" baseItem="4" numFmtId="1"/>
    <dataField name="#Employees" fld="1" subtotal="count" baseField="0" baseItem="3" numFmtId="1"/>
  </dataFields>
  <formats count="4">
    <format dxfId="217">
      <pivotArea outline="0" collapsedLevelsAreSubtotals="1" fieldPosition="0"/>
    </format>
    <format dxfId="216">
      <pivotArea outline="0" collapsedLevelsAreSubtotals="1" fieldPosition="0">
        <references count="1">
          <reference field="4294967294" count="4" selected="0">
            <x v="0"/>
            <x v="1"/>
            <x v="2"/>
            <x v="3"/>
          </reference>
        </references>
      </pivotArea>
    </format>
    <format dxfId="215">
      <pivotArea outline="0" collapsedLevelsAreSubtotals="1" fieldPosition="0">
        <references count="1">
          <reference field="4294967294" count="1" selected="0">
            <x v="4"/>
          </reference>
        </references>
      </pivotArea>
    </format>
    <format dxfId="214">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D6BFCB-1A42-41CB-8B37-1ED4DF3EA7C6}" name="PivotTable2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Job Title">
  <location ref="I29:J43" firstHeaderRow="1" firstDataRow="1" firstDataCol="1"/>
  <pivotFields count="21">
    <pivotField showAll="0"/>
    <pivotField dataField="1" showAll="0"/>
    <pivotField showAll="0"/>
    <pivotField axis="axisRow"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Employees" fld="1" subtotal="count" baseField="5" baseItem="0" numFmtId="2"/>
  </dataFields>
  <formats count="4">
    <format dxfId="221">
      <pivotArea outline="0" fieldPosition="0">
        <references count="1">
          <reference field="4294967294" count="1">
            <x v="0"/>
          </reference>
        </references>
      </pivotArea>
    </format>
    <format dxfId="220">
      <pivotArea outline="0" collapsedLevelsAreSubtotals="1" fieldPosition="0"/>
    </format>
    <format dxfId="219">
      <pivotArea collapsedLevelsAreSubtotals="1" fieldPosition="0">
        <references count="1">
          <reference field="3" count="0"/>
        </references>
      </pivotArea>
    </format>
    <format dxfId="21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CE3CAD-6E83-45EE-86FA-4E961454B239}"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Location">
  <location ref="A9:E13" firstHeaderRow="0" firstDataRow="1" firstDataCol="1"/>
  <pivotFields count="21">
    <pivotField showAll="0"/>
    <pivotField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axis="axisRow"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dataField="1" showAll="0"/>
    <pivotField dataField="1" showAll="0"/>
    <pivotField showAll="0"/>
    <pivotField showAll="0"/>
    <pivotField dataField="1" showAll="0"/>
    <pivotField dataField="1"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5"/>
  </rowFields>
  <rowItems count="4">
    <i>
      <x/>
    </i>
    <i>
      <x v="2"/>
    </i>
    <i>
      <x v="4"/>
    </i>
    <i t="grand">
      <x/>
    </i>
  </rowItems>
  <colFields count="1">
    <field x="-2"/>
  </colFields>
  <colItems count="4">
    <i>
      <x/>
    </i>
    <i i="1">
      <x v="1"/>
    </i>
    <i i="2">
      <x v="2"/>
    </i>
    <i i="3">
      <x v="3"/>
    </i>
  </colItems>
  <dataFields count="4">
    <dataField name="Avg Per 2019" fld="10" subtotal="average" baseField="5" baseItem="0"/>
    <dataField name="Avg Per 2020" fld="11" subtotal="average" baseField="5" baseItem="0"/>
    <dataField name="Avg Delta" fld="15" subtotal="average" baseField="5" baseItem="0"/>
    <dataField name="Average Total Average Performance" fld="14" subtotal="average" baseField="5" baseItem="0"/>
  </dataFields>
  <formats count="1">
    <format dxfId="2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F35C35-A47E-4528-A348-8BA1A5B15113}"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Location">
  <location ref="A19:C23" firstHeaderRow="0" firstDataRow="1" firstDataCol="1"/>
  <pivotFields count="21">
    <pivotField showAll="0"/>
    <pivotField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axis="axisRow"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dataField="1" showAll="0"/>
    <pivotField dataField="1"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5"/>
  </rowFields>
  <rowItems count="4">
    <i>
      <x/>
    </i>
    <i>
      <x v="2"/>
    </i>
    <i>
      <x v="4"/>
    </i>
    <i t="grand">
      <x/>
    </i>
  </rowItems>
  <colFields count="1">
    <field x="-2"/>
  </colFields>
  <colItems count="2">
    <i>
      <x/>
    </i>
    <i i="1">
      <x v="1"/>
    </i>
  </colItems>
  <dataFields count="2">
    <dataField name="Avg Age" fld="12" subtotal="average" baseField="5" baseItem="0"/>
    <dataField name="Avg Experience(Years)" fld="13" subtotal="average" baseField="5" baseItem="0"/>
  </dataFields>
  <formats count="1">
    <format dxfId="22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D9DF3C-BCA5-4ACB-B289-C6569CE423BA}" name="PivotTable1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Location">
  <location ref="A39:B45" firstHeaderRow="1" firstDataRow="1" firstDataCol="1"/>
  <pivotFields count="21">
    <pivotField showAll="0"/>
    <pivotField dataField="1" showAll="0"/>
    <pivotField showAll="0"/>
    <pivotField showAll="0">
      <items count="14">
        <item x="12"/>
        <item x="3"/>
        <item x="11"/>
        <item x="10"/>
        <item x="7"/>
        <item x="8"/>
        <item x="5"/>
        <item x="2"/>
        <item x="4"/>
        <item x="9"/>
        <item x="0"/>
        <item x="1"/>
        <item x="6"/>
        <item t="default"/>
      </items>
    </pivotField>
    <pivotField axis="axisRow"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4"/>
  </rowFields>
  <rowItems count="6">
    <i>
      <x/>
    </i>
    <i>
      <x v="1"/>
    </i>
    <i>
      <x v="2"/>
    </i>
    <i>
      <x v="3"/>
    </i>
    <i>
      <x v="4"/>
    </i>
    <i t="grand">
      <x/>
    </i>
  </rowItems>
  <colItems count="1">
    <i/>
  </colItems>
  <dataFields count="1">
    <dataField name="#Employees" fld="1" subtotal="count" showDataAs="percentOfTotal" baseField="5" baseItem="0" numFmtId="9"/>
  </dataFields>
  <formats count="2">
    <format dxfId="225">
      <pivotArea outline="0" fieldPosition="0">
        <references count="1">
          <reference field="4294967294" count="1">
            <x v="0"/>
          </reference>
        </references>
      </pivotArea>
    </format>
    <format dxfId="224">
      <pivotArea outline="0" collapsedLevelsAreSubtotals="1" fieldPosition="0"/>
    </format>
  </formats>
  <chartFormats count="6">
    <chartFormat chart="17" format="26" series="1">
      <pivotArea type="data" outline="0" fieldPosition="0">
        <references count="1">
          <reference field="4294967294" count="1" selected="0">
            <x v="0"/>
          </reference>
        </references>
      </pivotArea>
    </chartFormat>
    <chartFormat chart="17" format="27">
      <pivotArea type="data" outline="0" fieldPosition="0">
        <references count="2">
          <reference field="4294967294" count="1" selected="0">
            <x v="0"/>
          </reference>
          <reference field="4" count="1" selected="0">
            <x v="0"/>
          </reference>
        </references>
      </pivotArea>
    </chartFormat>
    <chartFormat chart="17" format="28">
      <pivotArea type="data" outline="0" fieldPosition="0">
        <references count="2">
          <reference field="4294967294" count="1" selected="0">
            <x v="0"/>
          </reference>
          <reference field="4" count="1" selected="0">
            <x v="1"/>
          </reference>
        </references>
      </pivotArea>
    </chartFormat>
    <chartFormat chart="17" format="29">
      <pivotArea type="data" outline="0" fieldPosition="0">
        <references count="2">
          <reference field="4294967294" count="1" selected="0">
            <x v="0"/>
          </reference>
          <reference field="4" count="1" selected="0">
            <x v="2"/>
          </reference>
        </references>
      </pivotArea>
    </chartFormat>
    <chartFormat chart="17" format="30">
      <pivotArea type="data" outline="0" fieldPosition="0">
        <references count="2">
          <reference field="4294967294" count="1" selected="0">
            <x v="0"/>
          </reference>
          <reference field="4" count="1" selected="0">
            <x v="3"/>
          </reference>
        </references>
      </pivotArea>
    </chartFormat>
    <chartFormat chart="17" format="3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37A8B2-F199-4B36-86F0-2B00AA957C5B}"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alary Range ">
  <location ref="D3:E8" firstHeaderRow="1" firstDataRow="1" firstDataCol="1"/>
  <pivotFields count="21">
    <pivotField showAll="0"/>
    <pivotField dataField="1"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showAll="0">
      <items count="4">
        <item x="1"/>
        <item x="2"/>
        <item x="0"/>
        <item t="default"/>
      </items>
    </pivotField>
    <pivotField axis="axisRow" showAll="0">
      <items count="5">
        <item x="3"/>
        <item x="2"/>
        <item x="1"/>
        <item x="0"/>
        <item t="default"/>
      </items>
    </pivotField>
    <pivotField showAll="0">
      <items count="4">
        <item x="1"/>
        <item x="0"/>
        <item x="2"/>
        <item t="default"/>
      </items>
    </pivotField>
    <pivotField showAll="0">
      <items count="4">
        <item x="2"/>
        <item x="1"/>
        <item x="0"/>
        <item t="default"/>
      </items>
    </pivotField>
    <pivotField showAll="0"/>
  </pivotFields>
  <rowFields count="1">
    <field x="17"/>
  </rowFields>
  <rowItems count="5">
    <i>
      <x/>
    </i>
    <i>
      <x v="1"/>
    </i>
    <i>
      <x v="2"/>
    </i>
    <i>
      <x v="3"/>
    </i>
    <i t="grand">
      <x/>
    </i>
  </rowItems>
  <colItems count="1">
    <i/>
  </colItems>
  <dataFields count="1">
    <dataField name="#Employees" fld="1" subtotal="count" baseField="16" baseItem="0"/>
  </dataFields>
  <formats count="2">
    <format dxfId="190">
      <pivotArea outline="0" collapsedLevelsAreSubtotals="1" fieldPosition="0"/>
    </format>
    <format dxfId="189">
      <pivotArea outline="0" fieldPosition="0">
        <references count="1">
          <reference field="4294967294" count="1">
            <x v="0"/>
          </reference>
        </references>
      </pivotArea>
    </format>
  </formats>
  <chartFormats count="1">
    <chartFormat chart="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FB0D9F2-E7E9-4A45-840D-7AFB7E1D5517}"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partment">
  <location ref="S3:T9" firstHeaderRow="1" firstDataRow="1" firstDataCol="1"/>
  <pivotFields count="21">
    <pivotField showAll="0"/>
    <pivotField showAll="0"/>
    <pivotField showAll="0"/>
    <pivotField showAll="0">
      <items count="14">
        <item x="12"/>
        <item x="3"/>
        <item x="11"/>
        <item x="10"/>
        <item x="7"/>
        <item x="8"/>
        <item x="5"/>
        <item x="2"/>
        <item x="4"/>
        <item x="9"/>
        <item x="0"/>
        <item x="1"/>
        <item x="6"/>
        <item t="default"/>
      </items>
    </pivotField>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dataField="1" showAll="0"/>
    <pivotField showAll="0"/>
    <pivotField showAll="0"/>
    <pivotField showAll="0"/>
    <pivotField showAll="0"/>
    <pivotField showAll="0"/>
    <pivotField showAll="0"/>
    <pivotField showAll="0">
      <items count="4">
        <item x="1"/>
        <item x="2"/>
        <item x="0"/>
        <item t="default"/>
      </items>
    </pivotField>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items count="3">
        <item x="0"/>
        <item x="1"/>
        <item t="default"/>
      </items>
    </pivotField>
  </pivotFields>
  <rowFields count="1">
    <field x="4"/>
  </rowFields>
  <rowItems count="6">
    <i>
      <x v="3"/>
    </i>
    <i>
      <x/>
    </i>
    <i>
      <x v="4"/>
    </i>
    <i>
      <x v="1"/>
    </i>
    <i>
      <x v="2"/>
    </i>
    <i t="grand">
      <x/>
    </i>
  </rowItems>
  <colItems count="1">
    <i/>
  </colItems>
  <dataFields count="1">
    <dataField name="Avg Salary" fld="9" subtotal="average" baseField="4" baseItem="0" numFmtId="165"/>
  </dataFields>
  <formats count="1">
    <format dxfId="191">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032874-ADED-4135-8A0B-5077B479AD56}"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Performance Category">
  <location ref="I3:J7" firstHeaderRow="1" firstDataRow="1" firstDataCol="1"/>
  <pivotFields count="21">
    <pivotField showAll="0"/>
    <pivotField dataField="1"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16"/>
  </rowFields>
  <rowItems count="4">
    <i>
      <x/>
    </i>
    <i>
      <x v="1"/>
    </i>
    <i>
      <x v="2"/>
    </i>
    <i t="grand">
      <x/>
    </i>
  </rowItems>
  <colItems count="1">
    <i/>
  </colItems>
  <dataFields count="1">
    <dataField name="#Employees" fld="1" subtotal="count" showDataAs="percentOfTotal" baseField="16" baseItem="0" numFmtId="9"/>
  </dataFields>
  <formats count="1">
    <format dxfId="192">
      <pivotArea outline="0" collapsedLevelsAreSubtotals="1" fieldPosition="0"/>
    </format>
  </formats>
  <chartFormats count="4">
    <chartFormat chart="3" format="40" series="1">
      <pivotArea type="data" outline="0" fieldPosition="0">
        <references count="1">
          <reference field="4294967294" count="1" selected="0">
            <x v="0"/>
          </reference>
        </references>
      </pivotArea>
    </chartFormat>
    <chartFormat chart="3" format="41">
      <pivotArea type="data" outline="0" fieldPosition="0">
        <references count="2">
          <reference field="4294967294" count="1" selected="0">
            <x v="0"/>
          </reference>
          <reference field="16" count="1" selected="0">
            <x v="0"/>
          </reference>
        </references>
      </pivotArea>
    </chartFormat>
    <chartFormat chart="3" format="42">
      <pivotArea type="data" outline="0" fieldPosition="0">
        <references count="2">
          <reference field="4294967294" count="1" selected="0">
            <x v="0"/>
          </reference>
          <reference field="16" count="1" selected="0">
            <x v="1"/>
          </reference>
        </references>
      </pivotArea>
    </chartFormat>
    <chartFormat chart="3" format="4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889CBF4-81DD-441B-BA83-20E4C80889C3}"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Employee">
  <location ref="A28:B29" firstHeaderRow="1" firstDataRow="1" firstDataCol="1"/>
  <pivotFields count="21">
    <pivotField showAll="0"/>
    <pivotField showAll="0"/>
    <pivotField axis="axisRow" showAll="0" sortType="descending">
      <items count="39">
        <item h="1" x="15"/>
        <item h="1" x="0"/>
        <item h="1" x="6"/>
        <item h="1" x="31"/>
        <item h="1" x="2"/>
        <item h="1" x="21"/>
        <item h="1" x="32"/>
        <item h="1" x="3"/>
        <item h="1" x="36"/>
        <item h="1" x="4"/>
        <item h="1" x="37"/>
        <item h="1" x="34"/>
        <item h="1" x="23"/>
        <item h="1" x="24"/>
        <item h="1" x="19"/>
        <item h="1" x="17"/>
        <item h="1" x="29"/>
        <item h="1" x="22"/>
        <item h="1" x="11"/>
        <item h="1" x="14"/>
        <item h="1" x="20"/>
        <item h="1" x="16"/>
        <item h="1" x="27"/>
        <item h="1" x="9"/>
        <item h="1" x="8"/>
        <item h="1" x="18"/>
        <item h="1" x="33"/>
        <item h="1" x="26"/>
        <item h="1" x="25"/>
        <item h="1" x="35"/>
        <item h="1" x="13"/>
        <item h="1" x="30"/>
        <item h="1" x="7"/>
        <item h="1" x="28"/>
        <item x="1"/>
        <item h="1" x="10"/>
        <item h="1" x="12"/>
        <item h="1" x="5"/>
        <item t="default"/>
      </items>
      <autoSortScope>
        <pivotArea dataOnly="0" outline="0" fieldPosition="0">
          <references count="1">
            <reference field="4294967294" count="1" selected="0">
              <x v="0"/>
            </reference>
          </references>
        </pivotArea>
      </autoSortScope>
    </pivotField>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2"/>
  </rowFields>
  <rowItems count="1">
    <i>
      <x v="34"/>
    </i>
  </rowItems>
  <colItems count="1">
    <i/>
  </colItems>
  <dataFields count="1">
    <dataField name="Performance" fld="14"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9FA82DA-6A52-46EB-B648-7433918F14EA}"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Experience Category ">
  <location ref="D12:E16" firstHeaderRow="1" firstDataRow="1" firstDataCol="1"/>
  <pivotFields count="21">
    <pivotField showAll="0"/>
    <pivotField dataField="1"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showAll="0">
      <items count="4">
        <item x="1"/>
        <item x="2"/>
        <item x="0"/>
        <item t="default"/>
      </items>
    </pivotField>
    <pivotField showAll="0">
      <items count="5">
        <item x="3"/>
        <item x="0"/>
        <item x="1"/>
        <item x="2"/>
        <item t="default"/>
      </items>
    </pivotField>
    <pivotField showAll="0">
      <items count="4">
        <item x="1"/>
        <item x="0"/>
        <item x="2"/>
        <item t="default"/>
      </items>
    </pivotField>
    <pivotField axis="axisRow" showAll="0">
      <items count="4">
        <item x="2"/>
        <item x="1"/>
        <item x="0"/>
        <item t="default"/>
      </items>
    </pivotField>
    <pivotField showAll="0">
      <items count="3">
        <item x="0"/>
        <item x="1"/>
        <item t="default"/>
      </items>
    </pivotField>
  </pivotFields>
  <rowFields count="1">
    <field x="19"/>
  </rowFields>
  <rowItems count="4">
    <i>
      <x/>
    </i>
    <i>
      <x v="1"/>
    </i>
    <i>
      <x v="2"/>
    </i>
    <i t="grand">
      <x/>
    </i>
  </rowItems>
  <colItems count="1">
    <i/>
  </colItems>
  <dataFields count="1">
    <dataField name="#Employees" fld="1" subtotal="count" showDataAs="percentOfTotal" baseField="16" baseItem="0" numFmtId="9"/>
  </dataFields>
  <formats count="2">
    <format dxfId="194">
      <pivotArea outline="0" fieldPosition="0">
        <references count="1">
          <reference field="4294967294" count="1">
            <x v="0"/>
          </reference>
        </references>
      </pivotArea>
    </format>
    <format dxfId="193">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8FA8DBF-A65A-4CBD-9FA5-689CF168C31D}"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Job Title">
  <location ref="N3:O17" firstHeaderRow="1" firstDataRow="1" firstDataCol="1"/>
  <pivotFields count="21">
    <pivotField showAll="0"/>
    <pivotField showAll="0"/>
    <pivotField showAll="0"/>
    <pivotField axis="axisRow" showAll="0" sortType="descending">
      <items count="14">
        <item x="12"/>
        <item x="3"/>
        <item x="11"/>
        <item x="10"/>
        <item x="7"/>
        <item x="8"/>
        <item x="5"/>
        <item x="2"/>
        <item x="4"/>
        <item x="9"/>
        <item x="0"/>
        <item x="1"/>
        <item x="6"/>
        <item t="default"/>
      </items>
      <autoSortScope>
        <pivotArea dataOnly="0" outline="0" fieldPosition="0">
          <references count="1">
            <reference field="4294967294" count="1" selected="0">
              <x v="0"/>
            </reference>
          </references>
        </pivotArea>
      </autoSortScope>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dataField="1" showAll="0"/>
    <pivotField showAll="0"/>
    <pivotField showAll="0"/>
    <pivotField showAll="0"/>
    <pivotField showAll="0"/>
    <pivotField showAll="0"/>
    <pivotField showAll="0"/>
    <pivotField showAll="0">
      <items count="4">
        <item x="1"/>
        <item x="2"/>
        <item x="0"/>
        <item t="default"/>
      </items>
    </pivotField>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items count="3">
        <item x="0"/>
        <item x="1"/>
        <item t="default"/>
      </items>
    </pivotField>
  </pivotFields>
  <rowFields count="1">
    <field x="3"/>
  </rowFields>
  <rowItems count="14">
    <i>
      <x v="11"/>
    </i>
    <i>
      <x v="8"/>
    </i>
    <i>
      <x/>
    </i>
    <i>
      <x v="9"/>
    </i>
    <i>
      <x v="3"/>
    </i>
    <i>
      <x v="1"/>
    </i>
    <i>
      <x v="5"/>
    </i>
    <i>
      <x v="12"/>
    </i>
    <i>
      <x v="10"/>
    </i>
    <i>
      <x v="2"/>
    </i>
    <i>
      <x v="6"/>
    </i>
    <i>
      <x v="7"/>
    </i>
    <i>
      <x v="4"/>
    </i>
    <i t="grand">
      <x/>
    </i>
  </rowItems>
  <colItems count="1">
    <i/>
  </colItems>
  <dataFields count="1">
    <dataField name="Total Salary" fld="9" baseField="3" baseItem="0" numFmtId="165"/>
  </dataFields>
  <formats count="1">
    <format dxfId="195">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3" count="13">
              <x v="0"/>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465528F-DF50-4BC9-AD1C-62836825B84A}" name="PivotTable13"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Performance Category">
  <location ref="I37:K38" firstHeaderRow="0" firstDataRow="1" firstDataCol="0"/>
  <pivotFields count="21">
    <pivotField showAll="0"/>
    <pivotField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dataField="1" showAll="0"/>
    <pivotField dataField="1" showAll="0"/>
    <pivotField dataField="1" showAll="0"/>
    <pivotField showAll="0"/>
    <pivotField showAll="0"/>
    <pivotField showAll="0"/>
    <pivotField showAll="0">
      <items count="4">
        <item x="1"/>
        <item x="2"/>
        <item x="0"/>
        <item t="default"/>
      </items>
    </pivotField>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Items count="1">
    <i/>
  </rowItems>
  <colFields count="1">
    <field x="-2"/>
  </colFields>
  <colItems count="3">
    <i>
      <x/>
    </i>
    <i i="1">
      <x v="1"/>
    </i>
    <i i="2">
      <x v="2"/>
    </i>
  </colItems>
  <dataFields count="3">
    <dataField name="Avg Age" fld="12" subtotal="average" baseField="0" baseItem="0" numFmtId="166"/>
    <dataField name="Avg Per 2019" fld="10" subtotal="average" baseField="0" baseItem="1" numFmtId="2"/>
    <dataField name="Avg Per 2020" fld="11" subtotal="average" baseField="0" baseItem="2" numFmtId="2"/>
  </dataFields>
  <formats count="4">
    <format dxfId="199">
      <pivotArea dataOnly="0" labelOnly="1" outline="0" axis="axisValues" fieldPosition="0"/>
    </format>
    <format dxfId="198">
      <pivotArea outline="0" collapsedLevelsAreSubtotals="1" fieldPosition="0"/>
    </format>
    <format dxfId="197">
      <pivotArea outline="0" collapsedLevelsAreSubtotals="1" fieldPosition="0">
        <references count="1">
          <reference field="4294967294" count="1" selected="0">
            <x v="2"/>
          </reference>
        </references>
      </pivotArea>
    </format>
    <format dxfId="19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27C1E35-DAE7-462F-A66C-37638C8A8A91}" name="PivotTable12"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ary Range">
  <location ref="I30:J34" firstHeaderRow="1" firstDataRow="1" firstDataCol="1"/>
  <pivotFields count="21">
    <pivotField showAll="0"/>
    <pivotField dataField="1"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showAll="0">
      <items count="4">
        <item x="1"/>
        <item x="2"/>
        <item x="0"/>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4">
        <item x="2"/>
        <item x="1"/>
        <item x="0"/>
        <item t="default"/>
      </items>
    </pivotField>
    <pivotField showAll="0"/>
  </pivotFields>
  <rowFields count="1">
    <field x="17"/>
  </rowFields>
  <rowItems count="4">
    <i>
      <x v="2"/>
    </i>
    <i>
      <x v="1"/>
    </i>
    <i>
      <x v="3"/>
    </i>
    <i>
      <x/>
    </i>
  </rowItems>
  <colItems count="1">
    <i/>
  </colItems>
  <dataFields count="1">
    <dataField name="#Employees" fld="1" subtotal="count" baseField="16" baseItem="0"/>
  </dataFields>
  <formats count="2">
    <format dxfId="201">
      <pivotArea outline="0" collapsedLevelsAreSubtotals="1" fieldPosition="0"/>
    </format>
    <format dxfId="20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49C10F2-2285-4C95-A39A-26AF71E1E952}" name="PivotTable11"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Performance Category">
  <location ref="D29:E32" firstHeaderRow="1" firstDataRow="1" firstDataCol="1"/>
  <pivotFields count="21">
    <pivotField showAll="0"/>
    <pivotField dataField="1"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showAll="0"/>
  </pivotFields>
  <rowFields count="1">
    <field x="16"/>
  </rowFields>
  <rowItems count="3">
    <i>
      <x/>
    </i>
    <i>
      <x v="1"/>
    </i>
    <i>
      <x v="2"/>
    </i>
  </rowItems>
  <colItems count="1">
    <i/>
  </colItems>
  <dataFields count="1">
    <dataField name="#Employees" fld="1" subtotal="count" showDataAs="percentOfTotal" baseField="16" baseItem="0" numFmtId="9"/>
  </dataFields>
  <formats count="1">
    <format dxfId="2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0C3A2C3-BD24-445C-A96A-6AEA1374DDE1}" name="PivotTable3" cacheId="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 rowHeaderCaption="Performance Category">
  <location ref="I12:K24" firstHeaderRow="1" firstDataRow="1" firstDataCol="2"/>
  <pivotFields count="21">
    <pivotField compact="0" outline="0" showAll="0"/>
    <pivotField dataField="1" compact="0" outline="0" showAll="0"/>
    <pivotField compact="0" outline="0" showAll="0"/>
    <pivotField compact="0" outline="0" showAll="0">
      <items count="14">
        <item x="12"/>
        <item x="3"/>
        <item x="11"/>
        <item x="10"/>
        <item x="7"/>
        <item x="8"/>
        <item x="5"/>
        <item x="2"/>
        <item x="4"/>
        <item x="9"/>
        <item x="0"/>
        <item x="1"/>
        <item x="6"/>
        <item t="default"/>
      </items>
    </pivotField>
    <pivotField compact="0" outline="0" showAll="0">
      <items count="6">
        <item x="4"/>
        <item x="3"/>
        <item x="2"/>
        <item x="1"/>
        <item x="0"/>
        <item t="default"/>
      </items>
    </pivotField>
    <pivotField axis="axisRow" compact="0" outline="0" showAll="0">
      <items count="6">
        <item x="1"/>
        <item m="1" x="4"/>
        <item x="0"/>
        <item m="1" x="3"/>
        <item x="2"/>
        <item t="default"/>
      </items>
    </pivotField>
    <pivotField compact="0" numFmtId="14" outline="0" showAll="0"/>
    <pivotField compact="0" numFmtId="14"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items count="5">
        <item x="3"/>
        <item x="0"/>
        <item x="1"/>
        <item x="2"/>
        <item t="default"/>
      </items>
    </pivotField>
    <pivotField compact="0" outline="0" showAll="0">
      <items count="4">
        <item x="1"/>
        <item x="0"/>
        <item x="2"/>
        <item t="default"/>
      </items>
    </pivotField>
    <pivotField compact="0" outline="0" showAll="0">
      <items count="4">
        <item x="2"/>
        <item x="1"/>
        <item x="0"/>
        <item t="default"/>
      </items>
    </pivotField>
    <pivotField compact="0" outline="0" showAll="0"/>
  </pivotFields>
  <rowFields count="2">
    <field x="16"/>
    <field x="5"/>
  </rowFields>
  <rowItems count="12">
    <i>
      <x/>
      <x/>
    </i>
    <i r="1">
      <x v="2"/>
    </i>
    <i r="1">
      <x v="4"/>
    </i>
    <i t="default">
      <x/>
    </i>
    <i>
      <x v="1"/>
      <x/>
    </i>
    <i r="1">
      <x v="2"/>
    </i>
    <i t="default">
      <x v="1"/>
    </i>
    <i>
      <x v="2"/>
      <x/>
    </i>
    <i r="1">
      <x v="2"/>
    </i>
    <i r="1">
      <x v="4"/>
    </i>
    <i t="default">
      <x v="2"/>
    </i>
    <i t="grand">
      <x/>
    </i>
  </rowItems>
  <colItems count="1">
    <i/>
  </colItems>
  <dataFields count="1">
    <dataField name="#Employees" fld="1" subtotal="count" showDataAs="percentOfTotal" baseField="16" baseItem="0" numFmtId="9"/>
  </dataFields>
  <formats count="1">
    <format dxfId="203">
      <pivotArea outline="0" collapsedLevelsAreSubtotals="1" fieldPosition="0"/>
    </format>
  </formats>
  <chartFormats count="9">
    <chartFormat chart="3" format="18" series="1">
      <pivotArea type="data" outline="0" fieldPosition="0">
        <references count="1">
          <reference field="4294967294" count="1" selected="0">
            <x v="0"/>
          </reference>
        </references>
      </pivotArea>
    </chartFormat>
    <chartFormat chart="3" format="19">
      <pivotArea type="data" outline="0" fieldPosition="0">
        <references count="3">
          <reference field="4294967294" count="1" selected="0">
            <x v="0"/>
          </reference>
          <reference field="5" count="1" selected="0">
            <x v="0"/>
          </reference>
          <reference field="16" count="1" selected="0">
            <x v="0"/>
          </reference>
        </references>
      </pivotArea>
    </chartFormat>
    <chartFormat chart="3" format="20">
      <pivotArea type="data" outline="0" fieldPosition="0">
        <references count="3">
          <reference field="4294967294" count="1" selected="0">
            <x v="0"/>
          </reference>
          <reference field="5" count="1" selected="0">
            <x v="2"/>
          </reference>
          <reference field="16" count="1" selected="0">
            <x v="0"/>
          </reference>
        </references>
      </pivotArea>
    </chartFormat>
    <chartFormat chart="3" format="21">
      <pivotArea type="data" outline="0" fieldPosition="0">
        <references count="3">
          <reference field="4294967294" count="1" selected="0">
            <x v="0"/>
          </reference>
          <reference field="5" count="1" selected="0">
            <x v="4"/>
          </reference>
          <reference field="16" count="1" selected="0">
            <x v="0"/>
          </reference>
        </references>
      </pivotArea>
    </chartFormat>
    <chartFormat chart="3" format="22">
      <pivotArea type="data" outline="0" fieldPosition="0">
        <references count="3">
          <reference field="4294967294" count="1" selected="0">
            <x v="0"/>
          </reference>
          <reference field="5" count="1" selected="0">
            <x v="0"/>
          </reference>
          <reference field="16" count="1" selected="0">
            <x v="1"/>
          </reference>
        </references>
      </pivotArea>
    </chartFormat>
    <chartFormat chart="3" format="23">
      <pivotArea type="data" outline="0" fieldPosition="0">
        <references count="3">
          <reference field="4294967294" count="1" selected="0">
            <x v="0"/>
          </reference>
          <reference field="5" count="1" selected="0">
            <x v="2"/>
          </reference>
          <reference field="16" count="1" selected="0">
            <x v="1"/>
          </reference>
        </references>
      </pivotArea>
    </chartFormat>
    <chartFormat chart="3" format="24">
      <pivotArea type="data" outline="0" fieldPosition="0">
        <references count="3">
          <reference field="4294967294" count="1" selected="0">
            <x v="0"/>
          </reference>
          <reference field="5" count="1" selected="0">
            <x v="0"/>
          </reference>
          <reference field="16" count="1" selected="0">
            <x v="2"/>
          </reference>
        </references>
      </pivotArea>
    </chartFormat>
    <chartFormat chart="3" format="25">
      <pivotArea type="data" outline="0" fieldPosition="0">
        <references count="3">
          <reference field="4294967294" count="1" selected="0">
            <x v="0"/>
          </reference>
          <reference field="5" count="1" selected="0">
            <x v="2"/>
          </reference>
          <reference field="16" count="1" selected="0">
            <x v="2"/>
          </reference>
        </references>
      </pivotArea>
    </chartFormat>
    <chartFormat chart="3" format="26">
      <pivotArea type="data" outline="0" fieldPosition="0">
        <references count="3">
          <reference field="4294967294" count="1" selected="0">
            <x v="0"/>
          </reference>
          <reference field="5" count="1" selected="0">
            <x v="4"/>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19820AA-4201-4438-A72F-C703FF1B5287}"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Experience Category ">
  <location ref="D20:E23" firstHeaderRow="1" firstDataRow="1" firstDataCol="1"/>
  <pivotFields count="21">
    <pivotField showAll="0"/>
    <pivotField dataField="1" showAll="0"/>
    <pivotField showAll="0"/>
    <pivotField showAll="0">
      <items count="14">
        <item x="12"/>
        <item x="3"/>
        <item x="11"/>
        <item x="10"/>
        <item x="7"/>
        <item x="8"/>
        <item x="5"/>
        <item x="2"/>
        <item x="4"/>
        <item x="9"/>
        <item x="0"/>
        <item x="1"/>
        <item x="6"/>
        <item t="default"/>
      </items>
    </pivotField>
    <pivotField showAll="0">
      <items count="6">
        <item x="4"/>
        <item x="3"/>
        <item x="2"/>
        <item x="1"/>
        <item x="0"/>
        <item t="default"/>
      </items>
    </pivotField>
    <pivotField showAll="0">
      <items count="6">
        <item x="1"/>
        <item m="1" x="4"/>
        <item x="0"/>
        <item m="1" x="3"/>
        <item x="2"/>
        <item t="default"/>
      </items>
    </pivotField>
    <pivotField numFmtId="14"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showAll="0">
      <items count="4">
        <item x="1"/>
        <item x="2"/>
        <item x="0"/>
        <item t="default"/>
      </items>
    </pivotField>
    <pivotField showAll="0">
      <items count="5">
        <item x="3"/>
        <item x="0"/>
        <item x="1"/>
        <item x="2"/>
        <item t="default"/>
      </items>
    </pivotField>
    <pivotField showAll="0">
      <items count="4">
        <item x="1"/>
        <item x="0"/>
        <item x="2"/>
        <item t="default"/>
      </items>
    </pivotField>
    <pivotField showAll="0">
      <items count="4">
        <item x="2"/>
        <item x="1"/>
        <item x="0"/>
        <item t="default"/>
      </items>
    </pivotField>
    <pivotField axis="axisRow" showAll="0">
      <items count="3">
        <item x="0"/>
        <item x="1"/>
        <item t="default"/>
      </items>
    </pivotField>
  </pivotFields>
  <rowFields count="1">
    <field x="20"/>
  </rowFields>
  <rowItems count="3">
    <i>
      <x/>
    </i>
    <i>
      <x v="1"/>
    </i>
    <i t="grand">
      <x/>
    </i>
  </rowItems>
  <colItems count="1">
    <i/>
  </colItems>
  <dataFields count="1">
    <dataField name="#Employees" fld="1" subtotal="count" baseField="16" baseItem="0"/>
  </dataFields>
  <formats count="2">
    <format dxfId="205">
      <pivotArea outline="0" collapsedLevelsAreSubtotals="1" fieldPosition="0"/>
    </format>
    <format dxfId="20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2" xr16:uid="{AD09778A-777E-4633-81E3-429DF624BC26}"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3" xr16:uid="{F9EC0529-E002-4B6B-A073-52D9900DAC38}"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D7918C92-A13C-4D32-AB45-82222DA77422}"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CFC632DC-504A-4610-9DCF-C57439465564}"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6" xr16:uid="{46DC95B7-9D5C-41FC-BF0E-DE7466D3CD81}"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4D8F1E95-D354-44E0-8323-D43E7D485FCD}" autoFormatId="16" applyNumberFormats="0" applyBorderFormats="0" applyFontFormats="0" applyPatternFormats="0" applyAlignmentFormats="0" applyWidthHeightFormats="0">
  <queryTableRefresh nextId="22">
    <queryTableFields count="21">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 id="13" name="Employees Age" tableColumnId="13"/>
      <queryTableField id="14" name="Experience" tableColumnId="14"/>
      <queryTableField id="15" name="Total Average Performance" tableColumnId="15"/>
      <queryTableField id="16" name="Delta" tableColumnId="16"/>
      <queryTableField id="17" name="Performance Category" tableColumnId="17"/>
      <queryTableField id="18" name="Salary Range" tableColumnId="18"/>
      <queryTableField id="19" name="Experience Range" tableColumnId="19"/>
      <queryTableField id="20" name="Experience Category" tableColumnId="20"/>
      <queryTableField id="21" name="Age Category"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وظيفة" xr10:uid="{3DCE7D5B-E107-4D5A-AA8A-EBFA3A8F4C54}" sourceName="الوظيفة">
  <pivotTables>
    <pivotTable tabId="7" name="PivotTable2"/>
    <pivotTable tabId="7" name="PivotTable1"/>
    <pivotTable tabId="7" name="PivotTable10"/>
    <pivotTable tabId="7" name="PivotTable11"/>
    <pivotTable tabId="7" name="PivotTable12"/>
    <pivotTable tabId="7" name="PivotTable13"/>
    <pivotTable tabId="7" name="PivotTable15"/>
    <pivotTable tabId="7" name="PivotTable16"/>
    <pivotTable tabId="7" name="PivotTable17"/>
    <pivotTable tabId="7" name="PivotTable18"/>
    <pivotTable tabId="7" name="PivotTable20"/>
    <pivotTable tabId="7" name="PivotTable8"/>
    <pivotTable tabId="10" name="PivotTable1"/>
    <pivotTable tabId="10" name="PivotTable10"/>
    <pivotTable tabId="10" name="PivotTable11"/>
    <pivotTable tabId="10" name="PivotTable12"/>
    <pivotTable tabId="10" name="PivotTable13"/>
    <pivotTable tabId="10" name="PivotTable3"/>
    <pivotTable tabId="10" name="PivotTable4"/>
    <pivotTable tabId="10" name="PivotTable5"/>
    <pivotTable tabId="10" name="PivotTable6"/>
    <pivotTable tabId="10" name="PivotTable7"/>
    <pivotTable tabId="10" name="PivotTable8"/>
  </pivotTables>
  <data>
    <tabular pivotCacheId="1221509477">
      <items count="13">
        <i x="12" s="1"/>
        <i x="3" s="1"/>
        <i x="11" s="1"/>
        <i x="10" s="1"/>
        <i x="7" s="1"/>
        <i x="8" s="1"/>
        <i x="5" s="1"/>
        <i x="2" s="1"/>
        <i x="4" s="1"/>
        <i x="9" s="1"/>
        <i x="0"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0EC48042-C371-4715-A320-D88488A87272}" sourceName="القسم">
  <pivotTables>
    <pivotTable tabId="7" name="PivotTable2"/>
    <pivotTable tabId="7" name="PivotTable1"/>
    <pivotTable tabId="7" name="PivotTable10"/>
    <pivotTable tabId="7" name="PivotTable11"/>
    <pivotTable tabId="7" name="PivotTable12"/>
    <pivotTable tabId="7" name="PivotTable13"/>
    <pivotTable tabId="7" name="PivotTable15"/>
    <pivotTable tabId="7" name="PivotTable16"/>
    <pivotTable tabId="7" name="PivotTable17"/>
    <pivotTable tabId="7" name="PivotTable18"/>
    <pivotTable tabId="7" name="PivotTable20"/>
    <pivotTable tabId="7" name="PivotTable8"/>
    <pivotTable tabId="10" name="PivotTable1"/>
    <pivotTable tabId="10" name="PivotTable10"/>
    <pivotTable tabId="10" name="PivotTable11"/>
    <pivotTable tabId="10" name="PivotTable12"/>
    <pivotTable tabId="10" name="PivotTable13"/>
    <pivotTable tabId="10" name="PivotTable3"/>
    <pivotTable tabId="10" name="PivotTable4"/>
    <pivotTable tabId="10" name="PivotTable5"/>
    <pivotTable tabId="10" name="PivotTable6"/>
    <pivotTable tabId="10" name="PivotTable7"/>
    <pivotTable tabId="10" name="PivotTable8"/>
  </pivotTables>
  <data>
    <tabular pivotCacheId="1221509477">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 xr10:uid="{7AFE1DC2-B043-4E04-B457-BB626BF02EC3}" sourceName="الموقع">
  <pivotTables>
    <pivotTable tabId="7" name="PivotTable2"/>
    <pivotTable tabId="7" name="PivotTable1"/>
    <pivotTable tabId="7" name="PivotTable10"/>
    <pivotTable tabId="7" name="PivotTable11"/>
    <pivotTable tabId="7" name="PivotTable12"/>
    <pivotTable tabId="7" name="PivotTable13"/>
    <pivotTable tabId="7" name="PivotTable15"/>
    <pivotTable tabId="7" name="PivotTable16"/>
    <pivotTable tabId="7" name="PivotTable17"/>
    <pivotTable tabId="7" name="PivotTable18"/>
    <pivotTable tabId="7" name="PivotTable20"/>
    <pivotTable tabId="7" name="PivotTable8"/>
    <pivotTable tabId="10" name="PivotTable1"/>
    <pivotTable tabId="10" name="PivotTable10"/>
    <pivotTable tabId="10" name="PivotTable11"/>
    <pivotTable tabId="10" name="PivotTable12"/>
    <pivotTable tabId="10" name="PivotTable13"/>
    <pivotTable tabId="10" name="PivotTable3"/>
    <pivotTable tabId="10" name="PivotTable4"/>
    <pivotTable tabId="10" name="PivotTable5"/>
    <pivotTable tabId="10" name="PivotTable6"/>
    <pivotTable tabId="10" name="PivotTable7"/>
    <pivotTable tabId="10" name="PivotTable8"/>
  </pivotTables>
  <data>
    <tabular pivotCacheId="1221509477">
      <items count="5">
        <i x="1" s="1"/>
        <i x="0" s="1"/>
        <i x="2" s="1"/>
        <i x="4" s="1" nd="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ؤهل_الدراسي" xr10:uid="{81E76F81-78DB-468F-B383-42B57F062FCA}" sourceName="المؤهل الدراسي">
  <pivotTables>
    <pivotTable tabId="7" name="PivotTable2"/>
    <pivotTable tabId="7" name="PivotTable1"/>
    <pivotTable tabId="7" name="PivotTable10"/>
    <pivotTable tabId="7" name="PivotTable11"/>
    <pivotTable tabId="7" name="PivotTable12"/>
    <pivotTable tabId="7" name="PivotTable13"/>
    <pivotTable tabId="7" name="PivotTable15"/>
    <pivotTable tabId="7" name="PivotTable16"/>
    <pivotTable tabId="7" name="PivotTable17"/>
    <pivotTable tabId="7" name="PivotTable18"/>
    <pivotTable tabId="7" name="PivotTable20"/>
    <pivotTable tabId="7" name="PivotTable8"/>
    <pivotTable tabId="10" name="PivotTable1"/>
    <pivotTable tabId="10" name="PivotTable10"/>
    <pivotTable tabId="10" name="PivotTable11"/>
    <pivotTable tabId="10" name="PivotTable12"/>
    <pivotTable tabId="10" name="PivotTable13"/>
    <pivotTable tabId="10" name="PivotTable3"/>
    <pivotTable tabId="10" name="PivotTable4"/>
    <pivotTable tabId="10" name="PivotTable5"/>
    <pivotTable tabId="10" name="PivotTable6"/>
    <pivotTable tabId="10" name="PivotTable7"/>
    <pivotTable tabId="10" name="PivotTable8"/>
  </pivotTables>
  <data>
    <tabular pivotCacheId="122150947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 xr10:uid="{2DF0B85B-1372-4DF8-9E8D-04737B57FA44}" sourceName="Salary Range">
  <pivotTables>
    <pivotTable tabId="10" name="PivotTable5"/>
    <pivotTable tabId="10" name="PivotTable1"/>
    <pivotTable tabId="10" name="PivotTable10"/>
    <pivotTable tabId="10" name="PivotTable11"/>
    <pivotTable tabId="10" name="PivotTable12"/>
    <pivotTable tabId="10" name="PivotTable13"/>
    <pivotTable tabId="10" name="PivotTable3"/>
    <pivotTable tabId="10" name="PivotTable4"/>
    <pivotTable tabId="10" name="PivotTable6"/>
    <pivotTable tabId="10" name="PivotTable7"/>
    <pivotTable tabId="10" name="PivotTable8"/>
    <pivotTable tabId="7" name="PivotTable1"/>
    <pivotTable tabId="7" name="PivotTable10"/>
    <pivotTable tabId="7" name="PivotTable11"/>
    <pivotTable tabId="7" name="PivotTable12"/>
    <pivotTable tabId="7" name="PivotTable13"/>
    <pivotTable tabId="7" name="PivotTable15"/>
    <pivotTable tabId="7" name="PivotTable16"/>
    <pivotTable tabId="7" name="PivotTable17"/>
    <pivotTable tabId="7" name="PivotTable18"/>
    <pivotTable tabId="7" name="PivotTable2"/>
    <pivotTable tabId="7" name="PivotTable20"/>
    <pivotTable tabId="7" name="PivotTable8"/>
  </pivotTables>
  <data>
    <tabular pivotCacheId="1221509477">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Range" xr10:uid="{01E7D8C6-935F-420F-AAC6-BD915D1A936F}" sourceName="Experience Range">
  <pivotTables>
    <pivotTable tabId="10" name="PivotTable5"/>
    <pivotTable tabId="10" name="PivotTable1"/>
    <pivotTable tabId="10" name="PivotTable10"/>
    <pivotTable tabId="10" name="PivotTable11"/>
    <pivotTable tabId="10" name="PivotTable12"/>
    <pivotTable tabId="10" name="PivotTable13"/>
    <pivotTable tabId="10" name="PivotTable3"/>
    <pivotTable tabId="10" name="PivotTable4"/>
    <pivotTable tabId="10" name="PivotTable6"/>
    <pivotTable tabId="10" name="PivotTable7"/>
    <pivotTable tabId="10" name="PivotTable8"/>
    <pivotTable tabId="7" name="PivotTable1"/>
    <pivotTable tabId="7" name="PivotTable10"/>
    <pivotTable tabId="7" name="PivotTable11"/>
    <pivotTable tabId="7" name="PivotTable12"/>
    <pivotTable tabId="7" name="PivotTable13"/>
    <pivotTable tabId="7" name="PivotTable15"/>
    <pivotTable tabId="7" name="PivotTable16"/>
    <pivotTable tabId="7" name="PivotTable17"/>
    <pivotTable tabId="7" name="PivotTable18"/>
    <pivotTable tabId="7" name="PivotTable2"/>
    <pivotTable tabId="7" name="PivotTable20"/>
    <pivotTable tabId="7" name="PivotTable8"/>
  </pivotTables>
  <data>
    <tabular pivotCacheId="1221509477">
      <items count="3">
        <i x="1"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Category" xr10:uid="{875ABE5E-18D7-4543-B2C2-3B775FEEA34A}" sourceName="Experience Category">
  <pivotTables>
    <pivotTable tabId="10" name="PivotTable5"/>
    <pivotTable tabId="10" name="PivotTable1"/>
    <pivotTable tabId="10" name="PivotTable10"/>
    <pivotTable tabId="10" name="PivotTable11"/>
    <pivotTable tabId="10" name="PivotTable12"/>
    <pivotTable tabId="10" name="PivotTable13"/>
    <pivotTable tabId="10" name="PivotTable3"/>
    <pivotTable tabId="10" name="PivotTable4"/>
    <pivotTable tabId="10" name="PivotTable6"/>
    <pivotTable tabId="10" name="PivotTable7"/>
    <pivotTable tabId="10" name="PivotTable8"/>
    <pivotTable tabId="7" name="PivotTable1"/>
    <pivotTable tabId="7" name="PivotTable10"/>
    <pivotTable tabId="7" name="PivotTable11"/>
    <pivotTable tabId="7" name="PivotTable12"/>
    <pivotTable tabId="7" name="PivotTable13"/>
    <pivotTable tabId="7" name="PivotTable15"/>
    <pivotTable tabId="7" name="PivotTable16"/>
    <pivotTable tabId="7" name="PivotTable17"/>
    <pivotTable tabId="7" name="PivotTable18"/>
    <pivotTable tabId="7" name="PivotTable2"/>
    <pivotTable tabId="7" name="PivotTable20"/>
    <pivotTable tabId="7" name="PivotTable8"/>
  </pivotTables>
  <data>
    <tabular pivotCacheId="122150947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وقع 1" xr10:uid="{7B089F6B-9375-4504-99D4-39D3BD53F1D0}" cache="Slicer_الموقع" caption="Location" columnCount="3" style="Slicer Style 1" rowHeight="247650"/>
  <slicer name="Salary Range" xr10:uid="{F8772C1F-B68D-44D5-A926-3DEA3519E4AC}" cache="Slicer_Salary_Range" caption="Salary Range" columnCount="4" style="Slicer Style 1" rowHeight="247650"/>
  <slicer name="Experience Range" xr10:uid="{3FA86610-4771-4294-8829-7BD2B0CC6AF1}" cache="Slicer_Experience_Range" caption="Experience Range" columnCount="3" style="Slicer Style 1" rowHeight="247650"/>
  <slicer name="Experience Category" xr10:uid="{85078095-F1BC-4B7C-A9B7-7ADE7436D63F}" cache="Slicer_Experience_Category" caption="Experience Category" columnCount="3"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وظيفة" xr10:uid="{A003C6C7-AD72-4D99-9BD5-578AFA1A090C}" cache="Slicer_الوظيفة" caption="Job Title" style="Slicer Style 1" rowHeight="247650"/>
  <slicer name="القسم" xr10:uid="{9F681AB1-4DF8-4FF8-BD82-438A3857CBBA}" cache="Slicer_القسم" caption="Department" columnCount="3" style="Slicer Style 1" rowHeight="247650"/>
  <slicer name="الموقع" xr10:uid="{10BC8116-FF82-4095-AF26-F1EF4E3F8956}" cache="Slicer_الموقع" caption="Location" columnCount="3" style="Slicer Style 1" rowHeight="247650"/>
  <slicer name="المؤهل الدراسي" xr10:uid="{DB7CAA51-D404-42B8-AF8D-824AC6CD94C0}" cache="Slicer_المؤهل_الدراسي" caption="Educational Level" columnCount="3"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588705-CB56-40E3-A79E-AC1C254307E9}" name="Finance5" displayName="Finance5" ref="A1:L11" tableType="queryTable" totalsRowShown="0">
  <autoFilter ref="A1:L11" xr:uid="{87588705-CB56-40E3-A79E-AC1C254307E9}"/>
  <tableColumns count="12">
    <tableColumn id="1" xr3:uid="{4E4295FB-265D-4A27-8D8B-9757BACAB313}" uniqueName="1" name="المسلسل" queryTableFieldId="1"/>
    <tableColumn id="2" xr3:uid="{7400841D-299D-4CCB-BE95-8E37488F460E}" uniqueName="2" name="الرقم الوظيفي" queryTableFieldId="2"/>
    <tableColumn id="3" xr3:uid="{B70D0708-019C-4F7A-B07D-424C6032DBCF}" uniqueName="3" name="اسم الموظف" queryTableFieldId="3" dataDxfId="273"/>
    <tableColumn id="4" xr3:uid="{E13A9053-719A-488D-8431-AB55DED3121D}" uniqueName="4" name="الوظيفة" queryTableFieldId="4" dataDxfId="272"/>
    <tableColumn id="5" xr3:uid="{3641314C-000A-4F56-9748-46E69A3EBCD8}" uniqueName="5" name="القسم" queryTableFieldId="5" dataDxfId="271"/>
    <tableColumn id="6" xr3:uid="{25F3BB3A-01BD-4E0D-A284-1A4A640CE4F4}" uniqueName="6" name="الموقع" queryTableFieldId="6" dataDxfId="270"/>
    <tableColumn id="7" xr3:uid="{F4FEC057-7756-41D2-BE28-6557B895F298}" uniqueName="7" name="تاريخ التعيين" queryTableFieldId="7" dataDxfId="269"/>
    <tableColumn id="8" xr3:uid="{CB6CD2ED-61E2-4C3F-959A-0FCECFEEA45A}" uniqueName="8" name="تاريخ الميلاد" queryTableFieldId="8" dataDxfId="268"/>
    <tableColumn id="9" xr3:uid="{D288C33B-BD38-4BEA-8100-6B7F3D958062}" uniqueName="9" name="المؤهل الدراسي" queryTableFieldId="9" dataDxfId="267"/>
    <tableColumn id="10" xr3:uid="{0DA90005-627E-48F6-844E-8865C43BF23F}" uniqueName="10" name="الراتب" queryTableFieldId="10"/>
    <tableColumn id="11" xr3:uid="{6B61579D-35A9-4C5A-8001-83B2541F219F}" uniqueName="11" name="PER 2019" queryTableFieldId="11"/>
    <tableColumn id="12" xr3:uid="{D6EE542F-AF8B-481A-AB98-C4D29994D6F3}" uniqueName="12" name="PER 2020"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0E0F4E-95D9-4D77-AB34-079656DD198D}" name="HR4_" displayName="HR4_" ref="A1:L24" tableType="queryTable" totalsRowShown="0">
  <autoFilter ref="A1:L24" xr:uid="{C80E0F4E-95D9-4D77-AB34-079656DD198D}"/>
  <tableColumns count="12">
    <tableColumn id="1" xr3:uid="{28656190-C625-4B6F-BF9C-EDB346404D17}" uniqueName="1" name="المسلسل" queryTableFieldId="1"/>
    <tableColumn id="2" xr3:uid="{C93FD7E5-D87E-4B62-9DF7-C541C51970C6}" uniqueName="2" name="الرقم الوظيفي" queryTableFieldId="2"/>
    <tableColumn id="3" xr3:uid="{D7995D47-E2CE-49D7-AFCA-D2B6A13794A1}" uniqueName="3" name="اسم الموظف" queryTableFieldId="3" dataDxfId="266"/>
    <tableColumn id="4" xr3:uid="{0EF84CA8-ABD7-4C71-AD37-A6EF79050455}" uniqueName="4" name="الوظيفة" queryTableFieldId="4" dataDxfId="265"/>
    <tableColumn id="5" xr3:uid="{E19A4EF1-0391-43C3-8580-FB4EC5E1D534}" uniqueName="5" name="القسم" queryTableFieldId="5" dataDxfId="264"/>
    <tableColumn id="6" xr3:uid="{54732086-061A-4A39-8A72-B6B0F860FCB1}" uniqueName="6" name="الموقع" queryTableFieldId="6" dataDxfId="263"/>
    <tableColumn id="7" xr3:uid="{F7A16CC0-F2F2-4CAF-A8FA-66640B55B508}" uniqueName="7" name="تاريخ التعيين" queryTableFieldId="7" dataDxfId="262"/>
    <tableColumn id="8" xr3:uid="{3C3607B4-3889-4DD9-8627-27CA4A68300B}" uniqueName="8" name="تاريخ الميلاد" queryTableFieldId="8" dataDxfId="261"/>
    <tableColumn id="9" xr3:uid="{2BC0B7B4-1108-45F5-A292-BEF6F48FF5D7}" uniqueName="9" name="المؤهل الدراسي" queryTableFieldId="9" dataDxfId="260"/>
    <tableColumn id="10" xr3:uid="{9402A844-BD1F-44D7-909D-FD6E80021092}" uniqueName="10" name="الراتب" queryTableFieldId="10"/>
    <tableColumn id="11" xr3:uid="{C58686E9-532B-4926-9419-6F449BE9A803}" uniqueName="11" name="PER 2019" queryTableFieldId="11"/>
    <tableColumn id="12" xr3:uid="{CDBB3DB8-1017-414B-A967-0EEF422B34B1}" uniqueName="12" name="PER 2020"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463690-388B-4C94-89EE-5DE8EAF9DE00}" name="IT3_" displayName="IT3_" ref="A1:L7" tableType="queryTable" totalsRowShown="0">
  <autoFilter ref="A1:L7" xr:uid="{E6463690-388B-4C94-89EE-5DE8EAF9DE00}"/>
  <tableColumns count="12">
    <tableColumn id="1" xr3:uid="{C37EB0E0-F39D-4E5D-B45D-03B9DDC96FC7}" uniqueName="1" name="المسلسل" queryTableFieldId="1"/>
    <tableColumn id="2" xr3:uid="{A4B56931-296F-4CF7-8A96-AE71117C0298}" uniqueName="2" name="الرقم الوظيفي" queryTableFieldId="2"/>
    <tableColumn id="3" xr3:uid="{EC994764-B43D-4F3F-AA5E-172E6C673885}" uniqueName="3" name="اسم الموظف" queryTableFieldId="3" dataDxfId="259"/>
    <tableColumn id="4" xr3:uid="{27317F5D-426F-4317-A984-D042393F7056}" uniqueName="4" name="الوظيفة" queryTableFieldId="4" dataDxfId="258"/>
    <tableColumn id="5" xr3:uid="{E897679A-1BB7-4AF0-9675-32DAB69D1AEE}" uniqueName="5" name="القسم" queryTableFieldId="5" dataDxfId="257"/>
    <tableColumn id="6" xr3:uid="{C091238C-2519-4E64-9FC3-7ADAD2C0F494}" uniqueName="6" name="الموقع" queryTableFieldId="6" dataDxfId="256"/>
    <tableColumn id="7" xr3:uid="{DA73785A-1148-4E1E-8CED-72316109D7DB}" uniqueName="7" name="تاريخ التعيين" queryTableFieldId="7" dataDxfId="255"/>
    <tableColumn id="8" xr3:uid="{CFCCDBE1-84F2-462F-B3E7-873BB9170168}" uniqueName="8" name="تاريخ الميلاد" queryTableFieldId="8" dataDxfId="254"/>
    <tableColumn id="9" xr3:uid="{1E22A0AB-AD38-4643-B195-ED38948B1A22}" uniqueName="9" name="المؤهل الدراسي" queryTableFieldId="9" dataDxfId="253"/>
    <tableColumn id="10" xr3:uid="{7F7B842C-8B6A-47C6-AE0E-1E40D0DE4301}" uniqueName="10" name="الراتب" queryTableFieldId="10"/>
    <tableColumn id="11" xr3:uid="{DA334A0D-AA83-4049-8CBF-CF6382871F33}" uniqueName="11" name="PER 2019" queryTableFieldId="11"/>
    <tableColumn id="12" xr3:uid="{F1B1D8DE-0D33-4D76-8AD9-C86BDFE02E7F}" uniqueName="12" name="PER 2020"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A10E64-BEA9-40F0-B078-0FD096C6C752}" name="Marketing2" displayName="Marketing2" ref="A1:L19" tableType="queryTable" totalsRowShown="0">
  <autoFilter ref="A1:L19" xr:uid="{E6A10E64-BEA9-40F0-B078-0FD096C6C752}"/>
  <tableColumns count="12">
    <tableColumn id="1" xr3:uid="{6804E16B-D246-4334-BC73-E7340316BD59}" uniqueName="1" name="المسلسل" queryTableFieldId="1"/>
    <tableColumn id="2" xr3:uid="{333AED80-F9DD-4DDB-9CBC-5D81F53EE189}" uniqueName="2" name="الرقم الوظيفي" queryTableFieldId="2"/>
    <tableColumn id="3" xr3:uid="{71686EE2-E2B2-4FC2-A250-413FA582F5BE}" uniqueName="3" name="اسم الموظف" queryTableFieldId="3" dataDxfId="252"/>
    <tableColumn id="4" xr3:uid="{21FBE723-F089-481E-8C3E-44F0E4A77922}" uniqueName="4" name="الوظيفة" queryTableFieldId="4" dataDxfId="251"/>
    <tableColumn id="5" xr3:uid="{184E5864-4C22-433E-A67D-3B1B1E7FC744}" uniqueName="5" name="القسم" queryTableFieldId="5" dataDxfId="250"/>
    <tableColumn id="6" xr3:uid="{31889BF9-6C72-40BD-AE84-6D10484DB8CA}" uniqueName="6" name="الموقع" queryTableFieldId="6" dataDxfId="249"/>
    <tableColumn id="7" xr3:uid="{9E74170F-68D8-4133-AB33-3A0DB23C8724}" uniqueName="7" name="تاريخ التعيين" queryTableFieldId="7" dataDxfId="248"/>
    <tableColumn id="8" xr3:uid="{91038F42-FB15-469B-8375-CFCFA9545CAB}" uniqueName="8" name="تاريخ الميلاد" queryTableFieldId="8" dataDxfId="247"/>
    <tableColumn id="9" xr3:uid="{A1B8CE50-BD66-4E78-AA2B-EBA487249C58}" uniqueName="9" name="المؤهل الدراسي" queryTableFieldId="9" dataDxfId="246"/>
    <tableColumn id="10" xr3:uid="{1ED19C3A-7ADA-4F09-8EAA-7654662F6094}" uniqueName="10" name="الراتب" queryTableFieldId="10"/>
    <tableColumn id="11" xr3:uid="{0DEBD466-C1A8-49AE-ABF5-5E9AE469D719}" uniqueName="11" name="PER 2019" queryTableFieldId="11"/>
    <tableColumn id="12" xr3:uid="{BB5FDC89-825C-42BE-877B-466CB51550D5}" uniqueName="12" name="PER 2020" queryTableField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3388AE-19B6-4F36-AB96-2E2AB67794F8}" name="Sales1" displayName="Sales1" ref="A1:L38" tableType="queryTable" totalsRowShown="0">
  <autoFilter ref="A1:L38" xr:uid="{0E3388AE-19B6-4F36-AB96-2E2AB67794F8}"/>
  <tableColumns count="12">
    <tableColumn id="1" xr3:uid="{4E5510C8-4813-419B-BC99-89CD3569C2D7}" uniqueName="1" name="المسلسل" queryTableFieldId="1"/>
    <tableColumn id="2" xr3:uid="{77A16A03-857F-4153-B52A-40332CB3A938}" uniqueName="2" name="الرقم الوظيفي" queryTableFieldId="2"/>
    <tableColumn id="3" xr3:uid="{F49F7C39-8485-4ACB-97BC-DD9A78BE33FF}" uniqueName="3" name="اسم الموظف" queryTableFieldId="3" dataDxfId="245"/>
    <tableColumn id="4" xr3:uid="{43EC8DBE-1309-4C85-947F-0B63B9B6FCFE}" uniqueName="4" name="الوظيفة" queryTableFieldId="4" dataDxfId="244"/>
    <tableColumn id="5" xr3:uid="{486E1A8A-0909-4228-84A0-C6D9317EDC2F}" uniqueName="5" name="القسم" queryTableFieldId="5" dataDxfId="243"/>
    <tableColumn id="6" xr3:uid="{A7D2C150-553E-40D9-A78F-AC91DFCCADD3}" uniqueName="6" name="الموقع" queryTableFieldId="6" dataDxfId="242"/>
    <tableColumn id="7" xr3:uid="{44C75EEB-C4E3-460A-8C0C-05BDF3725734}" uniqueName="7" name="تاريخ التعيين" queryTableFieldId="7" dataDxfId="241"/>
    <tableColumn id="8" xr3:uid="{8ED6C16D-2128-46A7-A0C0-82D2BB083566}" uniqueName="8" name="تاريخ الميلاد" queryTableFieldId="8" dataDxfId="240"/>
    <tableColumn id="9" xr3:uid="{D0D80398-0442-4363-BF78-13A1B3A344BB}" uniqueName="9" name="المؤهل الدراسي" queryTableFieldId="9" dataDxfId="239"/>
    <tableColumn id="10" xr3:uid="{3D801A7B-598C-4D10-8F7D-46DFF9BC73AE}" uniqueName="10" name="الراتب" queryTableFieldId="10"/>
    <tableColumn id="11" xr3:uid="{6B0215E2-E3DC-4F16-843A-F810FF78A413}" uniqueName="11" name="PER 2019" queryTableFieldId="11"/>
    <tableColumn id="12" xr3:uid="{3BFDA754-2C3C-4398-946D-C1B450F7E47A}" uniqueName="12" name="PER 2020" queryTableField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29CA7B-7F43-4761-BBCF-DCACBB950A70}" name="All_Departments_Data" displayName="All_Departments_Data" ref="A1:U95" tableType="queryTable" totalsRowShown="0" headerRowDxfId="238">
  <autoFilter ref="A1:U95" xr:uid="{6A29CA7B-7F43-4761-BBCF-DCACBB950A70}"/>
  <tableColumns count="21">
    <tableColumn id="1" xr3:uid="{73F88B1B-819E-4E34-A2C0-78CD3D4E2794}" uniqueName="1" name="المسلسل" queryTableFieldId="1"/>
    <tableColumn id="2" xr3:uid="{73881975-4C6D-4ACF-8207-1BF7D059E839}" uniqueName="2" name="الرقم الوظيفي" queryTableFieldId="2"/>
    <tableColumn id="3" xr3:uid="{ADD0636F-24FE-4CBB-8278-844456DE7732}" uniqueName="3" name="اسم الموظف" queryTableFieldId="3" dataDxfId="237"/>
    <tableColumn id="4" xr3:uid="{D30D67AB-0593-4859-B225-5A55B7D1AE5B}" uniqueName="4" name="الوظيفة" queryTableFieldId="4" dataDxfId="236"/>
    <tableColumn id="5" xr3:uid="{7F1D299B-B932-4117-A329-E8B3423FF879}" uniqueName="5" name="القسم" queryTableFieldId="5" dataDxfId="235"/>
    <tableColumn id="6" xr3:uid="{11E3ECD7-F6D6-47C5-B884-D239E02D9D5F}" uniqueName="6" name="الموقع" queryTableFieldId="6" dataDxfId="234"/>
    <tableColumn id="7" xr3:uid="{C51F67A4-9E17-4536-9891-C864668B6923}" uniqueName="7" name="تاريخ التعيين" queryTableFieldId="7" dataDxfId="233"/>
    <tableColumn id="8" xr3:uid="{5FD2C7AD-BFED-416B-9D73-F5AABE0BE8E6}" uniqueName="8" name="تاريخ الميلاد" queryTableFieldId="8" dataDxfId="232"/>
    <tableColumn id="9" xr3:uid="{B4978AAD-B39F-43E3-8394-9306FEE1356E}" uniqueName="9" name="المؤهل الدراسي" queryTableFieldId="9" dataDxfId="231"/>
    <tableColumn id="10" xr3:uid="{84E83EAA-7DDD-4D43-BCB9-1922597903B9}" uniqueName="10" name="الراتب" queryTableFieldId="10"/>
    <tableColumn id="11" xr3:uid="{0681EE3F-E540-464C-82E4-5B81EAFE89C6}" uniqueName="11" name="PER 2019" queryTableFieldId="11"/>
    <tableColumn id="12" xr3:uid="{52047256-8103-4ED8-B382-6704EAFF4677}" uniqueName="12" name="PER 2020" queryTableFieldId="12"/>
    <tableColumn id="13" xr3:uid="{A37B7EED-693A-4251-B24B-5939427D57ED}" uniqueName="13" name="Employees Age" queryTableFieldId="13"/>
    <tableColumn id="14" xr3:uid="{9950B5CB-4724-4BB1-A958-3EC4C6C2748D}" uniqueName="14" name="Experience" queryTableFieldId="14"/>
    <tableColumn id="15" xr3:uid="{9ACC5528-7819-4BD9-A57A-05959E6AD92F}" uniqueName="15" name="Total Average Performance" queryTableFieldId="15"/>
    <tableColumn id="16" xr3:uid="{135D2747-ADA1-467C-ADCB-49D36AF1CB6E}" uniqueName="16" name="Delta" queryTableFieldId="16"/>
    <tableColumn id="17" xr3:uid="{D16C9F5B-28EB-4392-9B30-84E90327F6FB}" uniqueName="17" name="Performance Category" queryTableFieldId="17" dataDxfId="230"/>
    <tableColumn id="18" xr3:uid="{F5AF7FD1-9344-435D-A448-8A5ED8344352}" uniqueName="18" name="Salary Range" queryTableFieldId="18" dataDxfId="229"/>
    <tableColumn id="19" xr3:uid="{E75BFE67-45DE-49AA-A26E-7B4E0F57597F}" uniqueName="19" name="Experience Range" queryTableFieldId="19" dataDxfId="228"/>
    <tableColumn id="20" xr3:uid="{4B41FC39-22D6-466D-B9BA-94608D062E82}" uniqueName="20" name="Experience Category" queryTableFieldId="20" dataDxfId="227"/>
    <tableColumn id="21" xr3:uid="{CC609638-B4BD-499B-B1E5-1B7FD0148B8C}" uniqueName="21" name="Age Category" queryTableFieldId="21" dataDxfId="2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843D-3077-4EEF-824F-61818ABDC96D}">
  <dimension ref="A1:L11"/>
  <sheetViews>
    <sheetView workbookViewId="0"/>
  </sheetViews>
  <sheetFormatPr defaultRowHeight="14.4" x14ac:dyDescent="0.3"/>
  <cols>
    <col min="1" max="1" width="6.44140625" bestFit="1" customWidth="1"/>
    <col min="2" max="2" width="9.6640625" bestFit="1" customWidth="1"/>
    <col min="3" max="3" width="9" bestFit="1" customWidth="1"/>
    <col min="4" max="4" width="15.77734375" bestFit="1" customWidth="1"/>
    <col min="5" max="5" width="7.44140625" bestFit="1" customWidth="1"/>
    <col min="6" max="6" width="7.77734375" bestFit="1" customWidth="1"/>
    <col min="7" max="7" width="10.33203125" bestFit="1" customWidth="1"/>
    <col min="8" max="8" width="9.33203125" bestFit="1" customWidth="1"/>
    <col min="9" max="9" width="11.109375" bestFit="1" customWidth="1"/>
    <col min="10" max="10" width="6" bestFit="1" customWidth="1"/>
    <col min="11" max="12"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4</v>
      </c>
      <c r="B2">
        <v>29769</v>
      </c>
      <c r="C2" t="s">
        <v>41</v>
      </c>
      <c r="D2" t="s">
        <v>77</v>
      </c>
      <c r="E2" t="s">
        <v>78</v>
      </c>
      <c r="F2" t="s">
        <v>55</v>
      </c>
      <c r="G2" s="1">
        <v>41499</v>
      </c>
      <c r="H2" s="1">
        <v>26494</v>
      </c>
      <c r="I2" t="s">
        <v>52</v>
      </c>
      <c r="J2">
        <v>26520</v>
      </c>
      <c r="K2">
        <v>0.81</v>
      </c>
      <c r="L2">
        <v>0.66</v>
      </c>
    </row>
    <row r="3" spans="1:12" x14ac:dyDescent="0.3">
      <c r="A3">
        <v>12</v>
      </c>
      <c r="B3">
        <v>26401</v>
      </c>
      <c r="C3" t="s">
        <v>47</v>
      </c>
      <c r="D3" t="s">
        <v>79</v>
      </c>
      <c r="E3" t="s">
        <v>78</v>
      </c>
      <c r="F3" t="s">
        <v>55</v>
      </c>
      <c r="G3" s="1">
        <v>42477</v>
      </c>
      <c r="H3" s="1">
        <v>25717</v>
      </c>
      <c r="I3" t="s">
        <v>20</v>
      </c>
      <c r="J3">
        <v>16455</v>
      </c>
      <c r="K3">
        <v>0.75</v>
      </c>
      <c r="L3">
        <v>0.92</v>
      </c>
    </row>
    <row r="4" spans="1:12" x14ac:dyDescent="0.3">
      <c r="A4">
        <v>13</v>
      </c>
      <c r="B4">
        <v>26435</v>
      </c>
      <c r="C4" t="s">
        <v>74</v>
      </c>
      <c r="D4" t="s">
        <v>79</v>
      </c>
      <c r="E4" t="s">
        <v>78</v>
      </c>
      <c r="F4" t="s">
        <v>30</v>
      </c>
      <c r="G4" s="1">
        <v>37131</v>
      </c>
      <c r="H4" s="1">
        <v>22910</v>
      </c>
      <c r="I4" t="s">
        <v>20</v>
      </c>
      <c r="J4">
        <v>4981</v>
      </c>
      <c r="K4">
        <v>0.77</v>
      </c>
      <c r="L4">
        <v>0.86</v>
      </c>
    </row>
    <row r="5" spans="1:12" x14ac:dyDescent="0.3">
      <c r="A5">
        <v>33</v>
      </c>
      <c r="B5">
        <v>26410</v>
      </c>
      <c r="C5" t="s">
        <v>75</v>
      </c>
      <c r="D5" t="s">
        <v>79</v>
      </c>
      <c r="E5" t="s">
        <v>78</v>
      </c>
      <c r="F5" t="s">
        <v>30</v>
      </c>
      <c r="G5" s="1">
        <v>42417</v>
      </c>
      <c r="H5" s="1">
        <v>27626</v>
      </c>
      <c r="I5" t="s">
        <v>20</v>
      </c>
      <c r="J5">
        <v>3165</v>
      </c>
      <c r="K5">
        <v>0.84</v>
      </c>
      <c r="L5">
        <v>0.78</v>
      </c>
    </row>
    <row r="6" spans="1:12" x14ac:dyDescent="0.3">
      <c r="A6">
        <v>34</v>
      </c>
      <c r="B6">
        <v>27385</v>
      </c>
      <c r="C6" t="s">
        <v>76</v>
      </c>
      <c r="D6" t="s">
        <v>79</v>
      </c>
      <c r="E6" t="s">
        <v>78</v>
      </c>
      <c r="F6" t="s">
        <v>51</v>
      </c>
      <c r="G6" s="1">
        <v>42462</v>
      </c>
      <c r="H6" s="1">
        <v>24785</v>
      </c>
      <c r="I6" t="s">
        <v>20</v>
      </c>
      <c r="J6">
        <v>20883</v>
      </c>
      <c r="K6">
        <v>0.85</v>
      </c>
      <c r="L6">
        <v>0.76</v>
      </c>
    </row>
    <row r="7" spans="1:12" x14ac:dyDescent="0.3">
      <c r="A7">
        <v>61</v>
      </c>
      <c r="B7">
        <v>26389</v>
      </c>
      <c r="C7" t="s">
        <v>72</v>
      </c>
      <c r="D7" t="s">
        <v>79</v>
      </c>
      <c r="E7" t="s">
        <v>78</v>
      </c>
      <c r="F7" t="s">
        <v>55</v>
      </c>
      <c r="G7" s="1">
        <v>43071</v>
      </c>
      <c r="H7" s="1">
        <v>21695</v>
      </c>
      <c r="I7" t="s">
        <v>20</v>
      </c>
      <c r="J7">
        <v>13380</v>
      </c>
      <c r="K7">
        <v>0.8</v>
      </c>
      <c r="L7">
        <v>0.72</v>
      </c>
    </row>
    <row r="8" spans="1:12" x14ac:dyDescent="0.3">
      <c r="A8">
        <v>62</v>
      </c>
      <c r="B8">
        <v>30459</v>
      </c>
      <c r="C8" t="s">
        <v>73</v>
      </c>
      <c r="D8" t="s">
        <v>79</v>
      </c>
      <c r="E8" t="s">
        <v>78</v>
      </c>
      <c r="F8" t="s">
        <v>30</v>
      </c>
      <c r="G8" s="1">
        <v>43444</v>
      </c>
      <c r="H8" s="1">
        <v>25438</v>
      </c>
      <c r="I8" t="s">
        <v>20</v>
      </c>
      <c r="J8">
        <v>18856</v>
      </c>
      <c r="K8">
        <v>0.81</v>
      </c>
      <c r="L8">
        <v>0.48</v>
      </c>
    </row>
    <row r="9" spans="1:12" x14ac:dyDescent="0.3">
      <c r="A9">
        <v>74</v>
      </c>
      <c r="B9">
        <v>27780</v>
      </c>
      <c r="C9" t="s">
        <v>40</v>
      </c>
      <c r="D9" t="s">
        <v>79</v>
      </c>
      <c r="E9" t="s">
        <v>78</v>
      </c>
      <c r="F9" t="s">
        <v>30</v>
      </c>
      <c r="G9" s="1">
        <v>42403</v>
      </c>
      <c r="H9" s="1">
        <v>30445</v>
      </c>
      <c r="I9" t="s">
        <v>20</v>
      </c>
      <c r="J9">
        <v>13891</v>
      </c>
      <c r="K9">
        <v>0.86</v>
      </c>
      <c r="L9">
        <v>0.97</v>
      </c>
    </row>
    <row r="10" spans="1:12" x14ac:dyDescent="0.3">
      <c r="A10">
        <v>75</v>
      </c>
      <c r="B10">
        <v>25907</v>
      </c>
      <c r="C10" t="s">
        <v>41</v>
      </c>
      <c r="D10" t="s">
        <v>79</v>
      </c>
      <c r="E10" t="s">
        <v>78</v>
      </c>
      <c r="F10" t="s">
        <v>51</v>
      </c>
      <c r="G10" s="1">
        <v>42417</v>
      </c>
      <c r="H10" s="1">
        <v>28157</v>
      </c>
      <c r="I10" t="s">
        <v>20</v>
      </c>
      <c r="J10">
        <v>19451</v>
      </c>
      <c r="K10">
        <v>0.77</v>
      </c>
      <c r="L10">
        <v>0.63</v>
      </c>
    </row>
    <row r="11" spans="1:12" x14ac:dyDescent="0.3">
      <c r="A11">
        <v>86</v>
      </c>
      <c r="B11">
        <v>27144</v>
      </c>
      <c r="C11" t="s">
        <v>26</v>
      </c>
      <c r="D11" t="s">
        <v>79</v>
      </c>
      <c r="E11" t="s">
        <v>78</v>
      </c>
      <c r="F11" t="s">
        <v>55</v>
      </c>
      <c r="G11" s="1">
        <v>39102</v>
      </c>
      <c r="H11" s="1">
        <v>24807</v>
      </c>
      <c r="I11" t="s">
        <v>20</v>
      </c>
      <c r="J11">
        <v>2185</v>
      </c>
      <c r="K11">
        <v>0.79</v>
      </c>
      <c r="L11">
        <v>0.65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F6CFC-A342-4286-B51B-DB232BB9E692}">
  <sheetPr>
    <tabColor theme="7"/>
  </sheetPr>
  <dimension ref="A1:L24"/>
  <sheetViews>
    <sheetView workbookViewId="0">
      <selection activeCell="C27" sqref="C27"/>
    </sheetView>
  </sheetViews>
  <sheetFormatPr defaultRowHeight="14.4" x14ac:dyDescent="0.3"/>
  <cols>
    <col min="1" max="1" width="6.44140625" bestFit="1" customWidth="1"/>
    <col min="2" max="2" width="9.6640625" bestFit="1" customWidth="1"/>
    <col min="3" max="3" width="12.33203125" bestFit="1" customWidth="1"/>
    <col min="4" max="4" width="19.21875" bestFit="1" customWidth="1"/>
    <col min="5" max="5" width="4.44140625" bestFit="1" customWidth="1"/>
    <col min="6" max="6" width="7.77734375" bestFit="1" customWidth="1"/>
    <col min="7" max="8" width="10.33203125" bestFit="1" customWidth="1"/>
    <col min="9" max="9" width="11.109375" bestFit="1" customWidth="1"/>
    <col min="10" max="10" width="6" bestFit="1" customWidth="1"/>
    <col min="11" max="12"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v>26434</v>
      </c>
      <c r="C2" t="s">
        <v>39</v>
      </c>
      <c r="D2" t="s">
        <v>66</v>
      </c>
      <c r="E2" t="s">
        <v>67</v>
      </c>
      <c r="F2" t="s">
        <v>51</v>
      </c>
      <c r="G2" s="1">
        <v>39036</v>
      </c>
      <c r="H2" s="1">
        <v>29537</v>
      </c>
      <c r="I2" t="s">
        <v>20</v>
      </c>
      <c r="J2">
        <v>20500</v>
      </c>
      <c r="K2">
        <v>0.82</v>
      </c>
      <c r="L2">
        <v>0.86</v>
      </c>
    </row>
    <row r="3" spans="1:12" x14ac:dyDescent="0.3">
      <c r="A3">
        <v>6</v>
      </c>
      <c r="B3">
        <v>27154</v>
      </c>
      <c r="C3" t="s">
        <v>42</v>
      </c>
      <c r="D3" t="s">
        <v>68</v>
      </c>
      <c r="E3" t="s">
        <v>67</v>
      </c>
      <c r="F3" t="s">
        <v>51</v>
      </c>
      <c r="G3" s="1">
        <v>37121</v>
      </c>
      <c r="H3" s="1">
        <v>24296</v>
      </c>
      <c r="I3" t="s">
        <v>20</v>
      </c>
      <c r="J3">
        <v>17233</v>
      </c>
      <c r="K3">
        <v>0.89</v>
      </c>
      <c r="L3">
        <v>0.41</v>
      </c>
    </row>
    <row r="4" spans="1:12" x14ac:dyDescent="0.3">
      <c r="A4">
        <v>7</v>
      </c>
      <c r="B4">
        <v>27008</v>
      </c>
      <c r="C4" t="s">
        <v>69</v>
      </c>
      <c r="D4" t="s">
        <v>70</v>
      </c>
      <c r="E4" t="s">
        <v>67</v>
      </c>
      <c r="F4" t="s">
        <v>30</v>
      </c>
      <c r="G4" s="1">
        <v>37758</v>
      </c>
      <c r="H4" s="1">
        <v>30195</v>
      </c>
      <c r="I4" t="s">
        <v>20</v>
      </c>
      <c r="J4">
        <v>19987</v>
      </c>
      <c r="K4">
        <v>0.76</v>
      </c>
      <c r="L4">
        <v>0.55000000000000004</v>
      </c>
    </row>
    <row r="5" spans="1:12" x14ac:dyDescent="0.3">
      <c r="A5">
        <v>8</v>
      </c>
      <c r="B5">
        <v>27621</v>
      </c>
      <c r="C5" t="s">
        <v>45</v>
      </c>
      <c r="D5" t="s">
        <v>71</v>
      </c>
      <c r="E5" t="s">
        <v>67</v>
      </c>
      <c r="F5" t="s">
        <v>55</v>
      </c>
      <c r="G5" s="1">
        <v>39600</v>
      </c>
      <c r="H5" s="1">
        <v>29625</v>
      </c>
      <c r="I5" t="s">
        <v>20</v>
      </c>
      <c r="J5">
        <v>23537</v>
      </c>
      <c r="K5">
        <v>0.87</v>
      </c>
      <c r="L5">
        <v>0.69</v>
      </c>
    </row>
    <row r="6" spans="1:12" x14ac:dyDescent="0.3">
      <c r="A6">
        <v>26</v>
      </c>
      <c r="B6">
        <v>27374</v>
      </c>
      <c r="C6" t="s">
        <v>72</v>
      </c>
      <c r="D6" t="s">
        <v>70</v>
      </c>
      <c r="E6" t="s">
        <v>67</v>
      </c>
      <c r="F6" t="s">
        <v>51</v>
      </c>
      <c r="G6" s="1">
        <v>42491</v>
      </c>
      <c r="H6" s="1">
        <v>27603</v>
      </c>
      <c r="I6" t="s">
        <v>20</v>
      </c>
      <c r="J6">
        <v>7935</v>
      </c>
      <c r="K6">
        <v>0.83</v>
      </c>
      <c r="L6">
        <v>0.41</v>
      </c>
    </row>
    <row r="7" spans="1:12" x14ac:dyDescent="0.3">
      <c r="A7">
        <v>27</v>
      </c>
      <c r="B7">
        <v>29368</v>
      </c>
      <c r="C7" t="s">
        <v>73</v>
      </c>
      <c r="D7" t="s">
        <v>68</v>
      </c>
      <c r="E7" t="s">
        <v>67</v>
      </c>
      <c r="F7" t="s">
        <v>30</v>
      </c>
      <c r="G7" s="1">
        <v>42515</v>
      </c>
      <c r="H7" s="1">
        <v>26982</v>
      </c>
      <c r="I7" t="s">
        <v>20</v>
      </c>
      <c r="J7">
        <v>20121</v>
      </c>
      <c r="K7">
        <v>0.8</v>
      </c>
      <c r="L7">
        <v>0.64</v>
      </c>
    </row>
    <row r="8" spans="1:12" x14ac:dyDescent="0.3">
      <c r="A8">
        <v>28</v>
      </c>
      <c r="B8">
        <v>27092</v>
      </c>
      <c r="C8" t="s">
        <v>60</v>
      </c>
      <c r="D8" t="s">
        <v>70</v>
      </c>
      <c r="E8" t="s">
        <v>67</v>
      </c>
      <c r="F8" t="s">
        <v>51</v>
      </c>
      <c r="G8" s="1">
        <v>42597</v>
      </c>
      <c r="H8" s="1">
        <v>29688</v>
      </c>
      <c r="I8" t="s">
        <v>20</v>
      </c>
      <c r="J8">
        <v>16408</v>
      </c>
      <c r="K8">
        <v>0.76</v>
      </c>
      <c r="L8">
        <v>0.91</v>
      </c>
    </row>
    <row r="9" spans="1:12" x14ac:dyDescent="0.3">
      <c r="A9">
        <v>29</v>
      </c>
      <c r="B9">
        <v>26429</v>
      </c>
      <c r="C9" t="s">
        <v>61</v>
      </c>
      <c r="D9" t="s">
        <v>71</v>
      </c>
      <c r="E9" t="s">
        <v>67</v>
      </c>
      <c r="F9" t="s">
        <v>30</v>
      </c>
      <c r="G9" s="1">
        <v>35029</v>
      </c>
      <c r="H9" s="1">
        <v>30178</v>
      </c>
      <c r="I9" t="s">
        <v>20</v>
      </c>
      <c r="J9">
        <v>2323</v>
      </c>
      <c r="K9">
        <v>0.83</v>
      </c>
      <c r="L9">
        <v>0.75</v>
      </c>
    </row>
    <row r="10" spans="1:12" x14ac:dyDescent="0.3">
      <c r="A10">
        <v>46</v>
      </c>
      <c r="B10">
        <v>26994</v>
      </c>
      <c r="C10" t="s">
        <v>21</v>
      </c>
      <c r="D10" t="s">
        <v>70</v>
      </c>
      <c r="E10" t="s">
        <v>67</v>
      </c>
      <c r="F10" t="s">
        <v>51</v>
      </c>
      <c r="G10" s="1">
        <v>35855</v>
      </c>
      <c r="H10" s="1">
        <v>24091</v>
      </c>
      <c r="I10" t="s">
        <v>20</v>
      </c>
      <c r="J10">
        <v>6553</v>
      </c>
      <c r="K10">
        <v>0.75</v>
      </c>
      <c r="L10">
        <v>0.75</v>
      </c>
    </row>
    <row r="11" spans="1:12" x14ac:dyDescent="0.3">
      <c r="A11">
        <v>47</v>
      </c>
      <c r="B11">
        <v>27007</v>
      </c>
      <c r="C11" t="s">
        <v>25</v>
      </c>
      <c r="D11" t="s">
        <v>68</v>
      </c>
      <c r="E11" t="s">
        <v>67</v>
      </c>
      <c r="F11" t="s">
        <v>51</v>
      </c>
      <c r="G11" s="1">
        <v>36544</v>
      </c>
      <c r="H11" s="1">
        <v>28423</v>
      </c>
      <c r="I11" t="s">
        <v>20</v>
      </c>
      <c r="J11">
        <v>13054</v>
      </c>
      <c r="K11">
        <v>0.82</v>
      </c>
      <c r="L11">
        <v>0.48</v>
      </c>
    </row>
    <row r="12" spans="1:12" x14ac:dyDescent="0.3">
      <c r="A12">
        <v>48</v>
      </c>
      <c r="B12">
        <v>26424</v>
      </c>
      <c r="C12" t="s">
        <v>47</v>
      </c>
      <c r="D12" t="s">
        <v>70</v>
      </c>
      <c r="E12" t="s">
        <v>67</v>
      </c>
      <c r="F12" t="s">
        <v>51</v>
      </c>
      <c r="G12" s="1">
        <v>37118</v>
      </c>
      <c r="H12" s="1">
        <v>27130</v>
      </c>
      <c r="I12" t="s">
        <v>20</v>
      </c>
      <c r="J12">
        <v>20909</v>
      </c>
      <c r="K12">
        <v>0.88</v>
      </c>
      <c r="L12">
        <v>0.46</v>
      </c>
    </row>
    <row r="13" spans="1:12" x14ac:dyDescent="0.3">
      <c r="A13">
        <v>49</v>
      </c>
      <c r="B13">
        <v>26415</v>
      </c>
      <c r="C13" t="s">
        <v>74</v>
      </c>
      <c r="D13" t="s">
        <v>71</v>
      </c>
      <c r="E13" t="s">
        <v>67</v>
      </c>
      <c r="F13" t="s">
        <v>30</v>
      </c>
      <c r="G13" s="1">
        <v>37460</v>
      </c>
      <c r="H13" s="1">
        <v>25427</v>
      </c>
      <c r="I13" t="s">
        <v>20</v>
      </c>
      <c r="J13">
        <v>23771</v>
      </c>
      <c r="K13">
        <v>0.88</v>
      </c>
      <c r="L13">
        <v>0.63</v>
      </c>
    </row>
    <row r="14" spans="1:12" x14ac:dyDescent="0.3">
      <c r="A14">
        <v>54</v>
      </c>
      <c r="B14">
        <v>27143</v>
      </c>
      <c r="C14" t="s">
        <v>28</v>
      </c>
      <c r="D14" t="s">
        <v>70</v>
      </c>
      <c r="E14" t="s">
        <v>67</v>
      </c>
      <c r="F14" t="s">
        <v>51</v>
      </c>
      <c r="G14" s="1">
        <v>41748</v>
      </c>
      <c r="H14" s="1">
        <v>25434</v>
      </c>
      <c r="I14" t="s">
        <v>20</v>
      </c>
      <c r="J14">
        <v>8529</v>
      </c>
      <c r="K14">
        <v>0.83</v>
      </c>
      <c r="L14">
        <v>0.77</v>
      </c>
    </row>
    <row r="15" spans="1:12" x14ac:dyDescent="0.3">
      <c r="A15">
        <v>55</v>
      </c>
      <c r="B15">
        <v>27393</v>
      </c>
      <c r="C15" t="s">
        <v>29</v>
      </c>
      <c r="D15" t="s">
        <v>68</v>
      </c>
      <c r="E15" t="s">
        <v>67</v>
      </c>
      <c r="F15" t="s">
        <v>55</v>
      </c>
      <c r="G15" s="1">
        <v>41977</v>
      </c>
      <c r="H15" s="1">
        <v>29527</v>
      </c>
      <c r="I15" t="s">
        <v>20</v>
      </c>
      <c r="J15">
        <v>3453</v>
      </c>
      <c r="K15">
        <v>0.87</v>
      </c>
      <c r="L15">
        <v>0.83</v>
      </c>
    </row>
    <row r="16" spans="1:12" x14ac:dyDescent="0.3">
      <c r="A16">
        <v>56</v>
      </c>
      <c r="B16">
        <v>30351</v>
      </c>
      <c r="C16" t="s">
        <v>31</v>
      </c>
      <c r="D16" t="s">
        <v>70</v>
      </c>
      <c r="E16" t="s">
        <v>67</v>
      </c>
      <c r="F16" t="s">
        <v>55</v>
      </c>
      <c r="G16" s="1">
        <v>42053</v>
      </c>
      <c r="H16" s="1">
        <v>27098</v>
      </c>
      <c r="I16" t="s">
        <v>20</v>
      </c>
      <c r="J16">
        <v>14170</v>
      </c>
      <c r="K16">
        <v>0.77</v>
      </c>
      <c r="L16">
        <v>0.89</v>
      </c>
    </row>
    <row r="17" spans="1:12" x14ac:dyDescent="0.3">
      <c r="A17">
        <v>57</v>
      </c>
      <c r="B17">
        <v>26441</v>
      </c>
      <c r="C17" t="s">
        <v>32</v>
      </c>
      <c r="D17" t="s">
        <v>71</v>
      </c>
      <c r="E17" t="s">
        <v>67</v>
      </c>
      <c r="F17" t="s">
        <v>30</v>
      </c>
      <c r="G17" s="1">
        <v>42597</v>
      </c>
      <c r="H17" s="1">
        <v>30987</v>
      </c>
      <c r="I17" t="s">
        <v>20</v>
      </c>
      <c r="J17">
        <v>3254</v>
      </c>
      <c r="K17">
        <v>0.81</v>
      </c>
      <c r="L17">
        <v>0.85</v>
      </c>
    </row>
    <row r="18" spans="1:12" x14ac:dyDescent="0.3">
      <c r="A18">
        <v>67</v>
      </c>
      <c r="B18">
        <v>27009</v>
      </c>
      <c r="C18" t="s">
        <v>36</v>
      </c>
      <c r="D18" t="s">
        <v>70</v>
      </c>
      <c r="E18" t="s">
        <v>67</v>
      </c>
      <c r="F18" t="s">
        <v>55</v>
      </c>
      <c r="G18" s="1">
        <v>38816</v>
      </c>
      <c r="H18" s="1">
        <v>24781</v>
      </c>
      <c r="I18" t="s">
        <v>20</v>
      </c>
      <c r="J18">
        <v>5735</v>
      </c>
      <c r="K18">
        <v>0.82</v>
      </c>
      <c r="L18">
        <v>0.69</v>
      </c>
    </row>
    <row r="19" spans="1:12" x14ac:dyDescent="0.3">
      <c r="A19">
        <v>68</v>
      </c>
      <c r="B19">
        <v>26428</v>
      </c>
      <c r="C19" t="s">
        <v>75</v>
      </c>
      <c r="D19" t="s">
        <v>68</v>
      </c>
      <c r="E19" t="s">
        <v>67</v>
      </c>
      <c r="F19" t="s">
        <v>55</v>
      </c>
      <c r="G19" s="1">
        <v>39298</v>
      </c>
      <c r="H19" s="1">
        <v>25572</v>
      </c>
      <c r="I19" t="s">
        <v>20</v>
      </c>
      <c r="J19">
        <v>2725</v>
      </c>
      <c r="K19">
        <v>0.8</v>
      </c>
      <c r="L19">
        <v>0.54</v>
      </c>
    </row>
    <row r="20" spans="1:12" x14ac:dyDescent="0.3">
      <c r="A20">
        <v>69</v>
      </c>
      <c r="B20">
        <v>26417</v>
      </c>
      <c r="C20" t="s">
        <v>76</v>
      </c>
      <c r="D20" t="s">
        <v>70</v>
      </c>
      <c r="E20" t="s">
        <v>67</v>
      </c>
      <c r="F20" t="s">
        <v>51</v>
      </c>
      <c r="G20" s="1">
        <v>39725</v>
      </c>
      <c r="H20" s="1">
        <v>25981</v>
      </c>
      <c r="I20" t="s">
        <v>20</v>
      </c>
      <c r="J20">
        <v>5909</v>
      </c>
      <c r="K20">
        <v>0.76</v>
      </c>
      <c r="L20">
        <v>0.43</v>
      </c>
    </row>
    <row r="21" spans="1:12" x14ac:dyDescent="0.3">
      <c r="A21">
        <v>70</v>
      </c>
      <c r="B21">
        <v>27150</v>
      </c>
      <c r="C21" t="s">
        <v>59</v>
      </c>
      <c r="D21" t="s">
        <v>71</v>
      </c>
      <c r="E21" t="s">
        <v>67</v>
      </c>
      <c r="F21" t="s">
        <v>51</v>
      </c>
      <c r="G21" s="1">
        <v>40180</v>
      </c>
      <c r="H21" s="1">
        <v>23726</v>
      </c>
      <c r="I21" t="s">
        <v>20</v>
      </c>
      <c r="J21">
        <v>11445</v>
      </c>
      <c r="K21">
        <v>0.8</v>
      </c>
      <c r="L21">
        <v>0.57999999999999996</v>
      </c>
    </row>
    <row r="22" spans="1:12" x14ac:dyDescent="0.3">
      <c r="A22">
        <v>83</v>
      </c>
      <c r="B22">
        <v>26399</v>
      </c>
      <c r="C22" t="s">
        <v>74</v>
      </c>
      <c r="D22" t="s">
        <v>68</v>
      </c>
      <c r="E22" t="s">
        <v>67</v>
      </c>
      <c r="F22" t="s">
        <v>51</v>
      </c>
      <c r="G22" s="1">
        <v>37282</v>
      </c>
      <c r="H22" s="1">
        <v>30042</v>
      </c>
      <c r="I22" t="s">
        <v>20</v>
      </c>
      <c r="J22">
        <v>6834</v>
      </c>
      <c r="K22">
        <v>0.83</v>
      </c>
      <c r="L22">
        <v>0.64</v>
      </c>
    </row>
    <row r="23" spans="1:12" x14ac:dyDescent="0.3">
      <c r="A23">
        <v>84</v>
      </c>
      <c r="B23">
        <v>26442</v>
      </c>
      <c r="C23" t="s">
        <v>53</v>
      </c>
      <c r="D23" t="s">
        <v>70</v>
      </c>
      <c r="E23" t="s">
        <v>67</v>
      </c>
      <c r="F23" t="s">
        <v>55</v>
      </c>
      <c r="G23" s="1">
        <v>37975</v>
      </c>
      <c r="H23" s="1">
        <v>24969</v>
      </c>
      <c r="I23" t="s">
        <v>20</v>
      </c>
      <c r="J23">
        <v>1860</v>
      </c>
      <c r="K23">
        <v>0.89</v>
      </c>
      <c r="L23">
        <v>0.94</v>
      </c>
    </row>
    <row r="24" spans="1:12" x14ac:dyDescent="0.3">
      <c r="A24">
        <v>85</v>
      </c>
      <c r="B24">
        <v>25908</v>
      </c>
      <c r="C24" t="s">
        <v>43</v>
      </c>
      <c r="D24" t="s">
        <v>71</v>
      </c>
      <c r="E24" t="s">
        <v>67</v>
      </c>
      <c r="F24" t="s">
        <v>55</v>
      </c>
      <c r="G24" s="1">
        <v>38403</v>
      </c>
      <c r="H24" s="1">
        <v>26618</v>
      </c>
      <c r="I24" t="s">
        <v>20</v>
      </c>
      <c r="J24">
        <v>8730</v>
      </c>
      <c r="K24">
        <v>0.88</v>
      </c>
      <c r="L24">
        <v>0.95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43092-8344-44ED-A76C-232685D20902}">
  <sheetPr>
    <tabColor theme="4" tint="0.59999389629810485"/>
  </sheetPr>
  <dimension ref="A1:L7"/>
  <sheetViews>
    <sheetView workbookViewId="0"/>
  </sheetViews>
  <sheetFormatPr defaultRowHeight="14.4" x14ac:dyDescent="0.3"/>
  <cols>
    <col min="1" max="1" width="6.44140625" bestFit="1" customWidth="1"/>
    <col min="2" max="2" width="9.6640625" bestFit="1" customWidth="1"/>
    <col min="3" max="3" width="9.109375" bestFit="1" customWidth="1"/>
    <col min="4" max="4" width="16.44140625" bestFit="1" customWidth="1"/>
    <col min="5" max="5" width="4.44140625" bestFit="1" customWidth="1"/>
    <col min="6" max="6" width="7.77734375" bestFit="1" customWidth="1"/>
    <col min="7" max="7" width="10.33203125" bestFit="1" customWidth="1"/>
    <col min="8" max="8" width="9.33203125" bestFit="1" customWidth="1"/>
    <col min="9" max="9" width="11.109375" bestFit="1" customWidth="1"/>
    <col min="10" max="10" width="6" bestFit="1" customWidth="1"/>
    <col min="11" max="12"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3</v>
      </c>
      <c r="B2">
        <v>26446</v>
      </c>
      <c r="C2" t="s">
        <v>40</v>
      </c>
      <c r="D2" t="s">
        <v>63</v>
      </c>
      <c r="E2" t="s">
        <v>64</v>
      </c>
      <c r="F2" t="s">
        <v>30</v>
      </c>
      <c r="G2" s="1">
        <v>41498</v>
      </c>
      <c r="H2" s="1">
        <v>29990</v>
      </c>
      <c r="I2" t="s">
        <v>52</v>
      </c>
      <c r="J2">
        <v>25000</v>
      </c>
      <c r="K2">
        <v>0.8</v>
      </c>
      <c r="L2">
        <v>0.9</v>
      </c>
    </row>
    <row r="3" spans="1:12" x14ac:dyDescent="0.3">
      <c r="A3">
        <v>9</v>
      </c>
      <c r="B3">
        <v>26412</v>
      </c>
      <c r="C3" t="s">
        <v>46</v>
      </c>
      <c r="D3" t="s">
        <v>65</v>
      </c>
      <c r="E3" t="s">
        <v>64</v>
      </c>
      <c r="F3" t="s">
        <v>51</v>
      </c>
      <c r="G3" s="1">
        <v>39767</v>
      </c>
      <c r="H3" s="1">
        <v>30733</v>
      </c>
      <c r="I3" t="s">
        <v>20</v>
      </c>
      <c r="J3">
        <v>11492</v>
      </c>
      <c r="K3">
        <v>0.81</v>
      </c>
      <c r="L3">
        <v>0.77</v>
      </c>
    </row>
    <row r="4" spans="1:12" x14ac:dyDescent="0.3">
      <c r="A4">
        <v>30</v>
      </c>
      <c r="B4">
        <v>25905</v>
      </c>
      <c r="C4" t="s">
        <v>62</v>
      </c>
      <c r="D4" t="s">
        <v>65</v>
      </c>
      <c r="E4" t="s">
        <v>64</v>
      </c>
      <c r="F4" t="s">
        <v>55</v>
      </c>
      <c r="G4" s="1">
        <v>41749</v>
      </c>
      <c r="H4" s="1">
        <v>23688</v>
      </c>
      <c r="I4" t="s">
        <v>20</v>
      </c>
      <c r="J4">
        <v>5578</v>
      </c>
      <c r="K4">
        <v>0.76</v>
      </c>
      <c r="L4">
        <v>0.97</v>
      </c>
    </row>
    <row r="5" spans="1:12" x14ac:dyDescent="0.3">
      <c r="A5">
        <v>50</v>
      </c>
      <c r="B5">
        <v>30350</v>
      </c>
      <c r="C5" t="s">
        <v>53</v>
      </c>
      <c r="D5" t="s">
        <v>65</v>
      </c>
      <c r="E5" t="s">
        <v>64</v>
      </c>
      <c r="F5" t="s">
        <v>51</v>
      </c>
      <c r="G5" s="1">
        <v>37817</v>
      </c>
      <c r="H5" s="1">
        <v>25539</v>
      </c>
      <c r="I5" t="s">
        <v>20</v>
      </c>
      <c r="J5">
        <v>6348</v>
      </c>
      <c r="K5">
        <v>0.76</v>
      </c>
      <c r="L5">
        <v>0.69</v>
      </c>
    </row>
    <row r="6" spans="1:12" x14ac:dyDescent="0.3">
      <c r="A6">
        <v>58</v>
      </c>
      <c r="B6">
        <v>30349</v>
      </c>
      <c r="C6" t="s">
        <v>33</v>
      </c>
      <c r="D6" t="s">
        <v>65</v>
      </c>
      <c r="E6" t="s">
        <v>64</v>
      </c>
      <c r="F6" t="s">
        <v>30</v>
      </c>
      <c r="G6" s="1">
        <v>42598</v>
      </c>
      <c r="H6" s="1">
        <v>25876</v>
      </c>
      <c r="I6" t="s">
        <v>20</v>
      </c>
      <c r="J6">
        <v>1952</v>
      </c>
      <c r="K6">
        <v>0.83</v>
      </c>
      <c r="L6">
        <v>0.76</v>
      </c>
    </row>
    <row r="7" spans="1:12" x14ac:dyDescent="0.3">
      <c r="A7">
        <v>71</v>
      </c>
      <c r="B7">
        <v>30460</v>
      </c>
      <c r="C7" t="s">
        <v>37</v>
      </c>
      <c r="D7" t="s">
        <v>65</v>
      </c>
      <c r="E7" t="s">
        <v>64</v>
      </c>
      <c r="F7" t="s">
        <v>51</v>
      </c>
      <c r="G7" s="1">
        <v>40680</v>
      </c>
      <c r="H7" s="1">
        <v>28100</v>
      </c>
      <c r="I7" t="s">
        <v>20</v>
      </c>
      <c r="J7">
        <v>18214</v>
      </c>
      <c r="K7">
        <v>0.78</v>
      </c>
      <c r="L7">
        <v>0.64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9ABE6-C2A7-4A3F-8E1A-CF667BAD25B1}">
  <sheetPr>
    <tabColor theme="3" tint="9.9978637043366805E-2"/>
  </sheetPr>
  <dimension ref="A1:L19"/>
  <sheetViews>
    <sheetView workbookViewId="0"/>
  </sheetViews>
  <sheetFormatPr defaultRowHeight="14.4" x14ac:dyDescent="0.3"/>
  <cols>
    <col min="1" max="1" width="6.44140625" bestFit="1" customWidth="1"/>
    <col min="2" max="2" width="9.6640625" bestFit="1" customWidth="1"/>
    <col min="3" max="3" width="12.33203125" bestFit="1" customWidth="1"/>
    <col min="4" max="4" width="26.77734375" bestFit="1" customWidth="1"/>
    <col min="6" max="6" width="7.77734375" bestFit="1" customWidth="1"/>
    <col min="7" max="8" width="10.33203125" bestFit="1" customWidth="1"/>
    <col min="9" max="9" width="11.109375" bestFit="1" customWidth="1"/>
    <col min="10" max="10" width="6" bestFit="1" customWidth="1"/>
    <col min="11" max="12"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2</v>
      </c>
      <c r="B2">
        <v>28127</v>
      </c>
      <c r="C2" t="s">
        <v>48</v>
      </c>
      <c r="D2" t="s">
        <v>49</v>
      </c>
      <c r="E2" t="s">
        <v>50</v>
      </c>
      <c r="F2" t="s">
        <v>51</v>
      </c>
      <c r="G2" s="1">
        <v>40919</v>
      </c>
      <c r="H2" s="1">
        <v>23989</v>
      </c>
      <c r="I2" t="s">
        <v>52</v>
      </c>
      <c r="J2">
        <v>21575</v>
      </c>
      <c r="K2">
        <v>0.86</v>
      </c>
      <c r="L2">
        <v>0.87</v>
      </c>
    </row>
    <row r="3" spans="1:12" x14ac:dyDescent="0.3">
      <c r="A3">
        <v>14</v>
      </c>
      <c r="B3">
        <v>26422</v>
      </c>
      <c r="C3" t="s">
        <v>53</v>
      </c>
      <c r="D3" t="s">
        <v>54</v>
      </c>
      <c r="E3" t="s">
        <v>50</v>
      </c>
      <c r="F3" t="s">
        <v>55</v>
      </c>
      <c r="G3" s="1">
        <v>38398</v>
      </c>
      <c r="H3" s="1">
        <v>23333</v>
      </c>
      <c r="I3" t="s">
        <v>20</v>
      </c>
      <c r="J3">
        <v>19023</v>
      </c>
      <c r="K3">
        <v>0.78</v>
      </c>
      <c r="L3">
        <v>0.89</v>
      </c>
    </row>
    <row r="4" spans="1:12" x14ac:dyDescent="0.3">
      <c r="A4">
        <v>15</v>
      </c>
      <c r="B4">
        <v>26414</v>
      </c>
      <c r="C4" t="s">
        <v>43</v>
      </c>
      <c r="D4" t="s">
        <v>56</v>
      </c>
      <c r="E4" t="s">
        <v>50</v>
      </c>
      <c r="F4" t="s">
        <v>51</v>
      </c>
      <c r="G4" s="1">
        <v>40292</v>
      </c>
      <c r="H4" s="1">
        <v>26435</v>
      </c>
      <c r="I4" t="s">
        <v>20</v>
      </c>
      <c r="J4">
        <v>12801</v>
      </c>
      <c r="K4">
        <v>0.75</v>
      </c>
      <c r="L4">
        <v>0.76</v>
      </c>
    </row>
    <row r="5" spans="1:12" x14ac:dyDescent="0.3">
      <c r="A5">
        <v>24</v>
      </c>
      <c r="B5">
        <v>30352</v>
      </c>
      <c r="C5" t="s">
        <v>57</v>
      </c>
      <c r="D5" t="s">
        <v>56</v>
      </c>
      <c r="E5" t="s">
        <v>50</v>
      </c>
      <c r="F5" t="s">
        <v>55</v>
      </c>
      <c r="G5" s="1">
        <v>42483</v>
      </c>
      <c r="H5" s="1">
        <v>25924</v>
      </c>
      <c r="I5" t="s">
        <v>20</v>
      </c>
      <c r="J5">
        <v>16742</v>
      </c>
      <c r="K5">
        <v>0.87</v>
      </c>
      <c r="L5">
        <v>0.87</v>
      </c>
    </row>
    <row r="6" spans="1:12" x14ac:dyDescent="0.3">
      <c r="A6">
        <v>25</v>
      </c>
      <c r="B6">
        <v>26726</v>
      </c>
      <c r="C6" t="s">
        <v>44</v>
      </c>
      <c r="D6" t="s">
        <v>56</v>
      </c>
      <c r="E6" t="s">
        <v>50</v>
      </c>
      <c r="F6" t="s">
        <v>55</v>
      </c>
      <c r="G6" s="1">
        <v>42490</v>
      </c>
      <c r="H6" s="1">
        <v>30587</v>
      </c>
      <c r="I6" t="s">
        <v>20</v>
      </c>
      <c r="J6">
        <v>15635</v>
      </c>
      <c r="K6">
        <v>0.84</v>
      </c>
      <c r="L6">
        <v>0.84</v>
      </c>
    </row>
    <row r="7" spans="1:12" x14ac:dyDescent="0.3">
      <c r="A7">
        <v>35</v>
      </c>
      <c r="B7">
        <v>26431</v>
      </c>
      <c r="C7" t="s">
        <v>58</v>
      </c>
      <c r="D7" t="s">
        <v>54</v>
      </c>
      <c r="E7" t="s">
        <v>50</v>
      </c>
      <c r="F7" t="s">
        <v>51</v>
      </c>
      <c r="G7" s="1">
        <v>42833</v>
      </c>
      <c r="H7" s="1">
        <v>30733</v>
      </c>
      <c r="I7" t="s">
        <v>20</v>
      </c>
      <c r="J7">
        <v>20897</v>
      </c>
      <c r="K7">
        <v>0.83</v>
      </c>
      <c r="L7">
        <v>0.67</v>
      </c>
    </row>
    <row r="8" spans="1:12" x14ac:dyDescent="0.3">
      <c r="A8">
        <v>36</v>
      </c>
      <c r="B8">
        <v>26396</v>
      </c>
      <c r="C8" t="s">
        <v>59</v>
      </c>
      <c r="D8" t="s">
        <v>56</v>
      </c>
      <c r="E8" t="s">
        <v>50</v>
      </c>
      <c r="F8" t="s">
        <v>30</v>
      </c>
      <c r="G8" s="1">
        <v>41527</v>
      </c>
      <c r="H8" s="1">
        <v>27607</v>
      </c>
      <c r="I8" t="s">
        <v>20</v>
      </c>
      <c r="J8">
        <v>15730</v>
      </c>
      <c r="K8">
        <v>0.86</v>
      </c>
      <c r="L8">
        <v>0.53</v>
      </c>
    </row>
    <row r="9" spans="1:12" x14ac:dyDescent="0.3">
      <c r="A9">
        <v>44</v>
      </c>
      <c r="B9">
        <v>26445</v>
      </c>
      <c r="C9" t="s">
        <v>45</v>
      </c>
      <c r="D9" t="s">
        <v>56</v>
      </c>
      <c r="E9" t="s">
        <v>50</v>
      </c>
      <c r="F9" t="s">
        <v>51</v>
      </c>
      <c r="G9" s="1">
        <v>39671</v>
      </c>
      <c r="H9" s="1">
        <v>25496</v>
      </c>
      <c r="I9" t="s">
        <v>20</v>
      </c>
      <c r="J9">
        <v>16861</v>
      </c>
      <c r="K9">
        <v>0.87</v>
      </c>
      <c r="L9">
        <v>0.52</v>
      </c>
    </row>
    <row r="10" spans="1:12" x14ac:dyDescent="0.3">
      <c r="A10">
        <v>45</v>
      </c>
      <c r="B10">
        <v>26400</v>
      </c>
      <c r="C10" t="s">
        <v>46</v>
      </c>
      <c r="D10" t="s">
        <v>56</v>
      </c>
      <c r="E10" t="s">
        <v>50</v>
      </c>
      <c r="F10" t="s">
        <v>55</v>
      </c>
      <c r="G10" s="1">
        <v>42084</v>
      </c>
      <c r="H10" s="1">
        <v>25856</v>
      </c>
      <c r="I10" t="s">
        <v>20</v>
      </c>
      <c r="J10">
        <v>5067</v>
      </c>
      <c r="K10">
        <v>0.86</v>
      </c>
      <c r="L10">
        <v>0.94</v>
      </c>
    </row>
    <row r="11" spans="1:12" x14ac:dyDescent="0.3">
      <c r="A11">
        <v>53</v>
      </c>
      <c r="B11">
        <v>26443</v>
      </c>
      <c r="C11" t="s">
        <v>27</v>
      </c>
      <c r="D11" t="s">
        <v>56</v>
      </c>
      <c r="E11" t="s">
        <v>50</v>
      </c>
      <c r="F11" t="s">
        <v>51</v>
      </c>
      <c r="G11" s="1">
        <v>39641</v>
      </c>
      <c r="H11" s="1">
        <v>25608</v>
      </c>
      <c r="I11" t="s">
        <v>20</v>
      </c>
      <c r="J11">
        <v>12903</v>
      </c>
      <c r="K11">
        <v>0.77</v>
      </c>
      <c r="L11">
        <v>0.75</v>
      </c>
    </row>
    <row r="12" spans="1:12" x14ac:dyDescent="0.3">
      <c r="A12">
        <v>63</v>
      </c>
      <c r="B12">
        <v>26610</v>
      </c>
      <c r="C12" t="s">
        <v>60</v>
      </c>
      <c r="D12" t="s">
        <v>54</v>
      </c>
      <c r="E12" t="s">
        <v>50</v>
      </c>
      <c r="F12" t="s">
        <v>55</v>
      </c>
      <c r="G12" s="1">
        <v>43121</v>
      </c>
      <c r="H12" s="1">
        <v>27200</v>
      </c>
      <c r="I12" t="s">
        <v>20</v>
      </c>
      <c r="J12">
        <v>4388</v>
      </c>
      <c r="K12">
        <v>0.86</v>
      </c>
      <c r="L12">
        <v>0.47</v>
      </c>
    </row>
    <row r="13" spans="1:12" x14ac:dyDescent="0.3">
      <c r="A13">
        <v>64</v>
      </c>
      <c r="B13">
        <v>26404</v>
      </c>
      <c r="C13" t="s">
        <v>61</v>
      </c>
      <c r="D13" t="s">
        <v>56</v>
      </c>
      <c r="E13" t="s">
        <v>50</v>
      </c>
      <c r="F13" t="s">
        <v>55</v>
      </c>
      <c r="G13" s="1">
        <v>43463</v>
      </c>
      <c r="H13" s="1">
        <v>27167</v>
      </c>
      <c r="I13" t="s">
        <v>20</v>
      </c>
      <c r="J13">
        <v>15454</v>
      </c>
      <c r="K13">
        <v>0.87</v>
      </c>
      <c r="L13">
        <v>0.94</v>
      </c>
    </row>
    <row r="14" spans="1:12" x14ac:dyDescent="0.3">
      <c r="A14">
        <v>65</v>
      </c>
      <c r="B14">
        <v>26402</v>
      </c>
      <c r="C14" t="s">
        <v>62</v>
      </c>
      <c r="D14" t="s">
        <v>56</v>
      </c>
      <c r="E14" t="s">
        <v>50</v>
      </c>
      <c r="F14" t="s">
        <v>51</v>
      </c>
      <c r="G14" s="1">
        <v>37676</v>
      </c>
      <c r="H14" s="1">
        <v>25124</v>
      </c>
      <c r="I14" t="s">
        <v>20</v>
      </c>
      <c r="J14">
        <v>24472</v>
      </c>
      <c r="K14">
        <v>0.84</v>
      </c>
      <c r="L14">
        <v>0.52</v>
      </c>
    </row>
    <row r="15" spans="1:12" x14ac:dyDescent="0.3">
      <c r="A15">
        <v>66</v>
      </c>
      <c r="B15">
        <v>26427</v>
      </c>
      <c r="C15" t="s">
        <v>35</v>
      </c>
      <c r="D15" t="s">
        <v>56</v>
      </c>
      <c r="E15" t="s">
        <v>50</v>
      </c>
      <c r="F15" t="s">
        <v>51</v>
      </c>
      <c r="G15" s="1">
        <v>37817</v>
      </c>
      <c r="H15" s="1">
        <v>23708</v>
      </c>
      <c r="I15" t="s">
        <v>20</v>
      </c>
      <c r="J15">
        <v>15992</v>
      </c>
      <c r="K15">
        <v>0.82</v>
      </c>
      <c r="L15">
        <v>0.91</v>
      </c>
    </row>
    <row r="16" spans="1:12" x14ac:dyDescent="0.3">
      <c r="A16">
        <v>76</v>
      </c>
      <c r="B16">
        <v>26999</v>
      </c>
      <c r="C16" t="s">
        <v>16</v>
      </c>
      <c r="D16" t="s">
        <v>54</v>
      </c>
      <c r="E16" t="s">
        <v>50</v>
      </c>
      <c r="F16" t="s">
        <v>51</v>
      </c>
      <c r="G16" s="1">
        <v>42515</v>
      </c>
      <c r="H16" s="1">
        <v>24332</v>
      </c>
      <c r="I16" t="s">
        <v>20</v>
      </c>
      <c r="J16">
        <v>21183</v>
      </c>
      <c r="K16">
        <v>0.85</v>
      </c>
      <c r="L16">
        <v>0.66</v>
      </c>
    </row>
    <row r="17" spans="1:12" x14ac:dyDescent="0.3">
      <c r="A17">
        <v>77</v>
      </c>
      <c r="B17">
        <v>28929</v>
      </c>
      <c r="C17" t="s">
        <v>42</v>
      </c>
      <c r="D17" t="s">
        <v>56</v>
      </c>
      <c r="E17" t="s">
        <v>50</v>
      </c>
      <c r="F17" t="s">
        <v>51</v>
      </c>
      <c r="G17" s="1">
        <v>41783</v>
      </c>
      <c r="H17" s="1">
        <v>25532</v>
      </c>
      <c r="I17" t="s">
        <v>20</v>
      </c>
      <c r="J17">
        <v>22459</v>
      </c>
      <c r="K17">
        <v>0.86</v>
      </c>
      <c r="L17">
        <v>0.43</v>
      </c>
    </row>
    <row r="18" spans="1:12" x14ac:dyDescent="0.3">
      <c r="A18">
        <v>87</v>
      </c>
      <c r="B18">
        <v>26447</v>
      </c>
      <c r="C18" t="s">
        <v>27</v>
      </c>
      <c r="D18" t="s">
        <v>54</v>
      </c>
      <c r="E18" t="s">
        <v>50</v>
      </c>
      <c r="F18" t="s">
        <v>55</v>
      </c>
      <c r="G18" s="1">
        <v>39669</v>
      </c>
      <c r="H18" s="1">
        <v>29342</v>
      </c>
      <c r="I18" t="s">
        <v>20</v>
      </c>
      <c r="J18">
        <v>2227</v>
      </c>
      <c r="K18">
        <v>0.8</v>
      </c>
      <c r="L18">
        <v>0.59</v>
      </c>
    </row>
    <row r="19" spans="1:12" x14ac:dyDescent="0.3">
      <c r="A19">
        <v>88</v>
      </c>
      <c r="B19">
        <v>28227</v>
      </c>
      <c r="C19" t="s">
        <v>28</v>
      </c>
      <c r="D19" t="s">
        <v>56</v>
      </c>
      <c r="E19" t="s">
        <v>50</v>
      </c>
      <c r="F19" t="s">
        <v>55</v>
      </c>
      <c r="G19" s="1">
        <v>39767</v>
      </c>
      <c r="H19" s="1">
        <v>26395</v>
      </c>
      <c r="I19" t="s">
        <v>20</v>
      </c>
      <c r="J19">
        <v>1673</v>
      </c>
      <c r="K19">
        <v>0.78</v>
      </c>
      <c r="L19">
        <v>0.78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163F-EA95-42A5-AE19-F1381743CF6F}">
  <sheetPr>
    <tabColor theme="3" tint="0.749992370372631"/>
  </sheetPr>
  <dimension ref="A1:L38"/>
  <sheetViews>
    <sheetView workbookViewId="0"/>
  </sheetViews>
  <sheetFormatPr defaultRowHeight="14.4" x14ac:dyDescent="0.3"/>
  <cols>
    <col min="1" max="1" width="6.44140625" bestFit="1" customWidth="1"/>
    <col min="2" max="2" width="9.6640625" bestFit="1" customWidth="1"/>
    <col min="3" max="3" width="12.33203125" bestFit="1" customWidth="1"/>
    <col min="4" max="4" width="12.6640625" bestFit="1" customWidth="1"/>
    <col min="5" max="5" width="5.33203125" bestFit="1" customWidth="1"/>
    <col min="6" max="6" width="7.77734375" bestFit="1" customWidth="1"/>
    <col min="7" max="8" width="10.33203125" bestFit="1" customWidth="1"/>
    <col min="9" max="9" width="11.109375" bestFit="1" customWidth="1"/>
    <col min="10" max="10" width="6" bestFit="1" customWidth="1"/>
    <col min="11" max="12"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5</v>
      </c>
      <c r="B2">
        <v>27375</v>
      </c>
      <c r="C2" t="s">
        <v>16</v>
      </c>
      <c r="D2" t="s">
        <v>17</v>
      </c>
      <c r="E2" t="s">
        <v>18</v>
      </c>
      <c r="F2" t="s">
        <v>19</v>
      </c>
      <c r="G2" s="1">
        <v>36741</v>
      </c>
      <c r="H2" s="1">
        <v>29281</v>
      </c>
      <c r="I2" t="s">
        <v>20</v>
      </c>
      <c r="J2">
        <v>35000</v>
      </c>
      <c r="K2">
        <v>0.89</v>
      </c>
      <c r="L2">
        <v>0.52</v>
      </c>
    </row>
    <row r="3" spans="1:12" x14ac:dyDescent="0.3">
      <c r="A3">
        <v>10</v>
      </c>
      <c r="B3">
        <v>30377</v>
      </c>
      <c r="C3" t="s">
        <v>21</v>
      </c>
      <c r="D3" t="s">
        <v>22</v>
      </c>
      <c r="E3" t="s">
        <v>18</v>
      </c>
      <c r="F3" t="s">
        <v>23</v>
      </c>
      <c r="G3" s="1">
        <v>40362</v>
      </c>
      <c r="H3" s="1">
        <v>25550</v>
      </c>
      <c r="I3" t="s">
        <v>24</v>
      </c>
      <c r="J3">
        <v>17456</v>
      </c>
      <c r="K3">
        <v>0.87</v>
      </c>
      <c r="L3">
        <v>0.97</v>
      </c>
    </row>
    <row r="4" spans="1:12" x14ac:dyDescent="0.3">
      <c r="A4">
        <v>11</v>
      </c>
      <c r="B4">
        <v>29369</v>
      </c>
      <c r="C4" t="s">
        <v>25</v>
      </c>
      <c r="D4" t="s">
        <v>22</v>
      </c>
      <c r="E4" t="s">
        <v>18</v>
      </c>
      <c r="F4" t="s">
        <v>23</v>
      </c>
      <c r="G4" s="1">
        <v>42326</v>
      </c>
      <c r="H4" s="1">
        <v>28807</v>
      </c>
      <c r="I4" t="s">
        <v>24</v>
      </c>
      <c r="J4">
        <v>7943</v>
      </c>
      <c r="K4">
        <v>0.75</v>
      </c>
      <c r="L4">
        <v>0.7</v>
      </c>
    </row>
    <row r="5" spans="1:12" x14ac:dyDescent="0.3">
      <c r="A5">
        <v>16</v>
      </c>
      <c r="B5">
        <v>27142</v>
      </c>
      <c r="C5" t="s">
        <v>26</v>
      </c>
      <c r="D5" t="s">
        <v>22</v>
      </c>
      <c r="E5" t="s">
        <v>18</v>
      </c>
      <c r="F5" t="s">
        <v>23</v>
      </c>
      <c r="G5" s="1">
        <v>40688</v>
      </c>
      <c r="H5" s="1">
        <v>26102</v>
      </c>
      <c r="I5" t="s">
        <v>24</v>
      </c>
      <c r="J5">
        <v>16613</v>
      </c>
      <c r="K5">
        <v>0.84</v>
      </c>
      <c r="L5">
        <v>0.42</v>
      </c>
    </row>
    <row r="6" spans="1:12" x14ac:dyDescent="0.3">
      <c r="A6">
        <v>17</v>
      </c>
      <c r="B6">
        <v>27650</v>
      </c>
      <c r="C6" t="s">
        <v>27</v>
      </c>
      <c r="D6" t="s">
        <v>22</v>
      </c>
      <c r="E6" t="s">
        <v>18</v>
      </c>
      <c r="F6" t="s">
        <v>23</v>
      </c>
      <c r="G6" s="1">
        <v>40726</v>
      </c>
      <c r="H6" s="1">
        <v>29194</v>
      </c>
      <c r="I6" t="s">
        <v>24</v>
      </c>
      <c r="J6">
        <v>6329</v>
      </c>
      <c r="K6">
        <v>0.81</v>
      </c>
      <c r="L6">
        <v>0.71</v>
      </c>
    </row>
    <row r="7" spans="1:12" x14ac:dyDescent="0.3">
      <c r="A7">
        <v>18</v>
      </c>
      <c r="B7">
        <v>25906</v>
      </c>
      <c r="C7" t="s">
        <v>28</v>
      </c>
      <c r="D7" t="s">
        <v>22</v>
      </c>
      <c r="E7" t="s">
        <v>18</v>
      </c>
      <c r="F7" t="s">
        <v>19</v>
      </c>
      <c r="G7" s="1">
        <v>41498</v>
      </c>
      <c r="H7" s="1">
        <v>29664</v>
      </c>
      <c r="I7" t="s">
        <v>24</v>
      </c>
      <c r="J7">
        <v>17215</v>
      </c>
      <c r="K7">
        <v>0.8</v>
      </c>
      <c r="L7">
        <v>0.87</v>
      </c>
    </row>
    <row r="8" spans="1:12" x14ac:dyDescent="0.3">
      <c r="A8">
        <v>19</v>
      </c>
      <c r="B8">
        <v>26439</v>
      </c>
      <c r="C8" t="s">
        <v>29</v>
      </c>
      <c r="D8" t="s">
        <v>22</v>
      </c>
      <c r="E8" t="s">
        <v>18</v>
      </c>
      <c r="F8" t="s">
        <v>30</v>
      </c>
      <c r="G8" s="1">
        <v>41905</v>
      </c>
      <c r="H8" s="1">
        <v>25213</v>
      </c>
      <c r="I8" t="s">
        <v>24</v>
      </c>
      <c r="J8">
        <v>4799</v>
      </c>
      <c r="K8">
        <v>0.86</v>
      </c>
      <c r="L8">
        <v>0.64</v>
      </c>
    </row>
    <row r="9" spans="1:12" x14ac:dyDescent="0.3">
      <c r="A9">
        <v>20</v>
      </c>
      <c r="B9">
        <v>26438</v>
      </c>
      <c r="C9" t="s">
        <v>31</v>
      </c>
      <c r="D9" t="s">
        <v>22</v>
      </c>
      <c r="E9" t="s">
        <v>18</v>
      </c>
      <c r="F9" t="s">
        <v>30</v>
      </c>
      <c r="G9" s="1">
        <v>41923</v>
      </c>
      <c r="H9" s="1">
        <v>25210</v>
      </c>
      <c r="I9" t="s">
        <v>24</v>
      </c>
      <c r="J9">
        <v>18547</v>
      </c>
      <c r="K9">
        <v>0.82</v>
      </c>
      <c r="L9">
        <v>0.65</v>
      </c>
    </row>
    <row r="10" spans="1:12" x14ac:dyDescent="0.3">
      <c r="A10">
        <v>21</v>
      </c>
      <c r="B10">
        <v>31456</v>
      </c>
      <c r="C10" t="s">
        <v>32</v>
      </c>
      <c r="D10" t="s">
        <v>22</v>
      </c>
      <c r="E10" t="s">
        <v>18</v>
      </c>
      <c r="F10" t="s">
        <v>23</v>
      </c>
      <c r="G10" s="1">
        <v>42105</v>
      </c>
      <c r="H10" s="1">
        <v>23312</v>
      </c>
      <c r="I10" t="s">
        <v>24</v>
      </c>
      <c r="J10">
        <v>4649</v>
      </c>
      <c r="K10">
        <v>0.75</v>
      </c>
      <c r="L10">
        <v>0.78</v>
      </c>
    </row>
    <row r="11" spans="1:12" x14ac:dyDescent="0.3">
      <c r="A11">
        <v>22</v>
      </c>
      <c r="B11">
        <v>27141</v>
      </c>
      <c r="C11" t="s">
        <v>33</v>
      </c>
      <c r="D11" t="s">
        <v>22</v>
      </c>
      <c r="E11" t="s">
        <v>18</v>
      </c>
      <c r="F11" t="s">
        <v>19</v>
      </c>
      <c r="G11" s="1">
        <v>42105</v>
      </c>
      <c r="H11" s="1">
        <v>30808</v>
      </c>
      <c r="I11" t="s">
        <v>24</v>
      </c>
      <c r="J11">
        <v>15173</v>
      </c>
      <c r="K11">
        <v>0.85</v>
      </c>
      <c r="L11">
        <v>0.96</v>
      </c>
    </row>
    <row r="12" spans="1:12" x14ac:dyDescent="0.3">
      <c r="A12">
        <v>23</v>
      </c>
      <c r="B12">
        <v>26448</v>
      </c>
      <c r="C12" t="s">
        <v>34</v>
      </c>
      <c r="D12" t="s">
        <v>22</v>
      </c>
      <c r="E12" t="s">
        <v>18</v>
      </c>
      <c r="F12" t="s">
        <v>19</v>
      </c>
      <c r="G12" s="1">
        <v>42469</v>
      </c>
      <c r="H12" s="1">
        <v>30487</v>
      </c>
      <c r="I12" t="s">
        <v>24</v>
      </c>
      <c r="J12">
        <v>18240</v>
      </c>
      <c r="K12">
        <v>0.89</v>
      </c>
      <c r="L12">
        <v>0.61</v>
      </c>
    </row>
    <row r="13" spans="1:12" x14ac:dyDescent="0.3">
      <c r="A13">
        <v>31</v>
      </c>
      <c r="B13">
        <v>26437</v>
      </c>
      <c r="C13" t="s">
        <v>35</v>
      </c>
      <c r="D13" t="s">
        <v>22</v>
      </c>
      <c r="E13" t="s">
        <v>18</v>
      </c>
      <c r="F13" t="s">
        <v>19</v>
      </c>
      <c r="G13" s="1">
        <v>41923</v>
      </c>
      <c r="H13" s="1">
        <v>27988</v>
      </c>
      <c r="I13" t="s">
        <v>24</v>
      </c>
      <c r="J13">
        <v>3445</v>
      </c>
      <c r="K13">
        <v>0.78</v>
      </c>
      <c r="L13">
        <v>0.65</v>
      </c>
    </row>
    <row r="14" spans="1:12" x14ac:dyDescent="0.3">
      <c r="A14">
        <v>32</v>
      </c>
      <c r="B14">
        <v>27960</v>
      </c>
      <c r="C14" t="s">
        <v>36</v>
      </c>
      <c r="D14" t="s">
        <v>22</v>
      </c>
      <c r="E14" t="s">
        <v>18</v>
      </c>
      <c r="F14" t="s">
        <v>23</v>
      </c>
      <c r="G14" s="1">
        <v>42417</v>
      </c>
      <c r="H14" s="1">
        <v>23641</v>
      </c>
      <c r="I14" t="s">
        <v>24</v>
      </c>
      <c r="J14">
        <v>13889</v>
      </c>
      <c r="K14">
        <v>0.85</v>
      </c>
      <c r="L14">
        <v>0.61</v>
      </c>
    </row>
    <row r="15" spans="1:12" x14ac:dyDescent="0.3">
      <c r="A15">
        <v>37</v>
      </c>
      <c r="B15">
        <v>27003</v>
      </c>
      <c r="C15" t="s">
        <v>37</v>
      </c>
      <c r="D15" t="s">
        <v>22</v>
      </c>
      <c r="E15" t="s">
        <v>18</v>
      </c>
      <c r="F15" t="s">
        <v>19</v>
      </c>
      <c r="G15" s="1">
        <v>43121</v>
      </c>
      <c r="H15" s="1">
        <v>29256</v>
      </c>
      <c r="I15" t="s">
        <v>24</v>
      </c>
      <c r="J15">
        <v>23467</v>
      </c>
      <c r="K15">
        <v>0.79</v>
      </c>
      <c r="L15">
        <v>0.95</v>
      </c>
    </row>
    <row r="16" spans="1:12" x14ac:dyDescent="0.3">
      <c r="A16">
        <v>38</v>
      </c>
      <c r="B16">
        <v>26440</v>
      </c>
      <c r="C16" t="s">
        <v>38</v>
      </c>
      <c r="D16" t="s">
        <v>22</v>
      </c>
      <c r="E16" t="s">
        <v>18</v>
      </c>
      <c r="F16" t="s">
        <v>23</v>
      </c>
      <c r="G16" s="1">
        <v>43121</v>
      </c>
      <c r="H16" s="1">
        <v>28364</v>
      </c>
      <c r="I16" t="s">
        <v>24</v>
      </c>
      <c r="J16">
        <v>2486</v>
      </c>
      <c r="K16">
        <v>0.83</v>
      </c>
      <c r="L16">
        <v>0.67</v>
      </c>
    </row>
    <row r="17" spans="1:12" x14ac:dyDescent="0.3">
      <c r="A17">
        <v>39</v>
      </c>
      <c r="B17">
        <v>26433</v>
      </c>
      <c r="C17" t="s">
        <v>39</v>
      </c>
      <c r="D17" t="s">
        <v>22</v>
      </c>
      <c r="E17" t="s">
        <v>18</v>
      </c>
      <c r="F17" t="s">
        <v>23</v>
      </c>
      <c r="G17" s="1">
        <v>43121</v>
      </c>
      <c r="H17" s="1">
        <v>23497</v>
      </c>
      <c r="I17" t="s">
        <v>24</v>
      </c>
      <c r="J17">
        <v>9365</v>
      </c>
      <c r="K17">
        <v>0.84</v>
      </c>
      <c r="L17">
        <v>0.4</v>
      </c>
    </row>
    <row r="18" spans="1:12" x14ac:dyDescent="0.3">
      <c r="A18">
        <v>40</v>
      </c>
      <c r="B18">
        <v>31457</v>
      </c>
      <c r="C18" t="s">
        <v>40</v>
      </c>
      <c r="D18" t="s">
        <v>22</v>
      </c>
      <c r="E18" t="s">
        <v>18</v>
      </c>
      <c r="F18" t="s">
        <v>19</v>
      </c>
      <c r="G18" s="1">
        <v>36312</v>
      </c>
      <c r="H18" s="1">
        <v>23532</v>
      </c>
      <c r="I18" t="s">
        <v>24</v>
      </c>
      <c r="J18">
        <v>22438</v>
      </c>
      <c r="K18">
        <v>0.82</v>
      </c>
      <c r="L18">
        <v>0.56999999999999995</v>
      </c>
    </row>
    <row r="19" spans="1:12" x14ac:dyDescent="0.3">
      <c r="A19">
        <v>41</v>
      </c>
      <c r="B19">
        <v>27648</v>
      </c>
      <c r="C19" t="s">
        <v>41</v>
      </c>
      <c r="D19" t="s">
        <v>22</v>
      </c>
      <c r="E19" t="s">
        <v>18</v>
      </c>
      <c r="F19" t="s">
        <v>19</v>
      </c>
      <c r="G19" s="1">
        <v>38115</v>
      </c>
      <c r="H19" s="1">
        <v>32743</v>
      </c>
      <c r="I19" t="s">
        <v>24</v>
      </c>
      <c r="J19">
        <v>20869</v>
      </c>
      <c r="K19">
        <v>0.77</v>
      </c>
      <c r="L19">
        <v>0.41</v>
      </c>
    </row>
    <row r="20" spans="1:12" x14ac:dyDescent="0.3">
      <c r="A20">
        <v>42</v>
      </c>
      <c r="B20">
        <v>27858</v>
      </c>
      <c r="C20" t="s">
        <v>16</v>
      </c>
      <c r="D20" t="s">
        <v>22</v>
      </c>
      <c r="E20" t="s">
        <v>18</v>
      </c>
      <c r="F20" t="s">
        <v>23</v>
      </c>
      <c r="G20" s="1">
        <v>40850</v>
      </c>
      <c r="H20" s="1">
        <v>28621</v>
      </c>
      <c r="I20" t="s">
        <v>24</v>
      </c>
      <c r="J20">
        <v>1428</v>
      </c>
      <c r="K20">
        <v>0.87</v>
      </c>
      <c r="L20">
        <v>0.96</v>
      </c>
    </row>
    <row r="21" spans="1:12" x14ac:dyDescent="0.3">
      <c r="A21">
        <v>43</v>
      </c>
      <c r="B21">
        <v>26444</v>
      </c>
      <c r="C21" t="s">
        <v>42</v>
      </c>
      <c r="D21" t="s">
        <v>22</v>
      </c>
      <c r="E21" t="s">
        <v>18</v>
      </c>
      <c r="F21" t="s">
        <v>19</v>
      </c>
      <c r="G21" s="1">
        <v>35868</v>
      </c>
      <c r="H21" s="1">
        <v>28782</v>
      </c>
      <c r="I21" t="s">
        <v>24</v>
      </c>
      <c r="J21">
        <v>16767</v>
      </c>
      <c r="K21">
        <v>0.84</v>
      </c>
      <c r="L21">
        <v>0.69</v>
      </c>
    </row>
    <row r="22" spans="1:12" x14ac:dyDescent="0.3">
      <c r="A22">
        <v>51</v>
      </c>
      <c r="B22">
        <v>28126</v>
      </c>
      <c r="C22" t="s">
        <v>43</v>
      </c>
      <c r="D22" t="s">
        <v>22</v>
      </c>
      <c r="E22" t="s">
        <v>18</v>
      </c>
      <c r="F22" t="s">
        <v>19</v>
      </c>
      <c r="G22" s="1">
        <v>38930</v>
      </c>
      <c r="H22" s="1">
        <v>28166</v>
      </c>
      <c r="I22" t="s">
        <v>24</v>
      </c>
      <c r="J22">
        <v>12122</v>
      </c>
      <c r="K22">
        <v>0.76</v>
      </c>
      <c r="L22">
        <v>0.67</v>
      </c>
    </row>
    <row r="23" spans="1:12" x14ac:dyDescent="0.3">
      <c r="A23">
        <v>52</v>
      </c>
      <c r="B23">
        <v>26413</v>
      </c>
      <c r="C23" t="s">
        <v>26</v>
      </c>
      <c r="D23" t="s">
        <v>22</v>
      </c>
      <c r="E23" t="s">
        <v>18</v>
      </c>
      <c r="F23" t="s">
        <v>23</v>
      </c>
      <c r="G23" s="1">
        <v>39144</v>
      </c>
      <c r="H23" s="1">
        <v>25356</v>
      </c>
      <c r="I23" t="s">
        <v>24</v>
      </c>
      <c r="J23">
        <v>24004</v>
      </c>
      <c r="K23">
        <v>0.81</v>
      </c>
      <c r="L23">
        <v>0.77</v>
      </c>
    </row>
    <row r="24" spans="1:12" x14ac:dyDescent="0.3">
      <c r="A24">
        <v>59</v>
      </c>
      <c r="B24">
        <v>26347</v>
      </c>
      <c r="C24" t="s">
        <v>34</v>
      </c>
      <c r="D24" t="s">
        <v>22</v>
      </c>
      <c r="E24" t="s">
        <v>18</v>
      </c>
      <c r="F24" t="s">
        <v>23</v>
      </c>
      <c r="G24" s="1">
        <v>42576</v>
      </c>
      <c r="H24" s="1">
        <v>32599</v>
      </c>
      <c r="I24" t="s">
        <v>24</v>
      </c>
      <c r="J24">
        <v>7329</v>
      </c>
      <c r="K24">
        <v>0.86</v>
      </c>
      <c r="L24">
        <v>0.61</v>
      </c>
    </row>
    <row r="25" spans="1:12" x14ac:dyDescent="0.3">
      <c r="A25">
        <v>60</v>
      </c>
      <c r="B25">
        <v>26430</v>
      </c>
      <c r="C25" t="s">
        <v>44</v>
      </c>
      <c r="D25" t="s">
        <v>22</v>
      </c>
      <c r="E25" t="s">
        <v>18</v>
      </c>
      <c r="F25" t="s">
        <v>23</v>
      </c>
      <c r="G25" s="1">
        <v>41951</v>
      </c>
      <c r="H25" s="1">
        <v>25803</v>
      </c>
      <c r="I25" t="s">
        <v>24</v>
      </c>
      <c r="J25">
        <v>20603</v>
      </c>
      <c r="K25">
        <v>0.88</v>
      </c>
      <c r="L25">
        <v>0.76</v>
      </c>
    </row>
    <row r="26" spans="1:12" x14ac:dyDescent="0.3">
      <c r="A26">
        <v>72</v>
      </c>
      <c r="B26">
        <v>26991</v>
      </c>
      <c r="C26" t="s">
        <v>38</v>
      </c>
      <c r="D26" t="s">
        <v>22</v>
      </c>
      <c r="E26" t="s">
        <v>18</v>
      </c>
      <c r="F26" t="s">
        <v>19</v>
      </c>
      <c r="G26" s="1">
        <v>40952</v>
      </c>
      <c r="H26" s="1">
        <v>29256</v>
      </c>
      <c r="I26" t="s">
        <v>24</v>
      </c>
      <c r="J26">
        <v>18091</v>
      </c>
      <c r="K26">
        <v>0.84</v>
      </c>
      <c r="L26">
        <v>0.91</v>
      </c>
    </row>
    <row r="27" spans="1:12" x14ac:dyDescent="0.3">
      <c r="A27">
        <v>73</v>
      </c>
      <c r="B27">
        <v>27618</v>
      </c>
      <c r="C27" t="s">
        <v>39</v>
      </c>
      <c r="D27" t="s">
        <v>22</v>
      </c>
      <c r="E27" t="s">
        <v>18</v>
      </c>
      <c r="F27" t="s">
        <v>19</v>
      </c>
      <c r="G27" s="1">
        <v>42036</v>
      </c>
      <c r="H27" s="1">
        <v>26362</v>
      </c>
      <c r="I27" t="s">
        <v>24</v>
      </c>
      <c r="J27">
        <v>21390</v>
      </c>
      <c r="K27">
        <v>0.76</v>
      </c>
      <c r="L27">
        <v>0.89</v>
      </c>
    </row>
    <row r="28" spans="1:12" x14ac:dyDescent="0.3">
      <c r="A28">
        <v>78</v>
      </c>
      <c r="B28">
        <v>28166</v>
      </c>
      <c r="C28" t="s">
        <v>45</v>
      </c>
      <c r="D28" t="s">
        <v>22</v>
      </c>
      <c r="E28" t="s">
        <v>18</v>
      </c>
      <c r="F28" t="s">
        <v>23</v>
      </c>
      <c r="G28" s="1">
        <v>42476</v>
      </c>
      <c r="H28" s="1">
        <v>30536</v>
      </c>
      <c r="I28" t="s">
        <v>24</v>
      </c>
      <c r="J28">
        <v>13943</v>
      </c>
      <c r="K28">
        <v>0.78</v>
      </c>
      <c r="L28">
        <v>0.78</v>
      </c>
    </row>
    <row r="29" spans="1:12" x14ac:dyDescent="0.3">
      <c r="A29">
        <v>79</v>
      </c>
      <c r="B29">
        <v>27004</v>
      </c>
      <c r="C29" t="s">
        <v>46</v>
      </c>
      <c r="D29" t="s">
        <v>22</v>
      </c>
      <c r="E29" t="s">
        <v>18</v>
      </c>
      <c r="F29" t="s">
        <v>23</v>
      </c>
      <c r="G29" s="1">
        <v>35217</v>
      </c>
      <c r="H29" s="1">
        <v>28157</v>
      </c>
      <c r="I29" t="s">
        <v>24</v>
      </c>
      <c r="J29">
        <v>9011</v>
      </c>
      <c r="K29">
        <v>0.79</v>
      </c>
      <c r="L29">
        <v>0.46</v>
      </c>
    </row>
    <row r="30" spans="1:12" x14ac:dyDescent="0.3">
      <c r="A30">
        <v>80</v>
      </c>
      <c r="B30">
        <v>27649</v>
      </c>
      <c r="C30" t="s">
        <v>21</v>
      </c>
      <c r="D30" t="s">
        <v>22</v>
      </c>
      <c r="E30" t="s">
        <v>18</v>
      </c>
      <c r="F30" t="s">
        <v>23</v>
      </c>
      <c r="G30" s="1">
        <v>35389</v>
      </c>
      <c r="H30" s="1">
        <v>28970</v>
      </c>
      <c r="I30" t="s">
        <v>24</v>
      </c>
      <c r="J30">
        <v>5390</v>
      </c>
      <c r="K30">
        <v>0.81</v>
      </c>
      <c r="L30">
        <v>0.4</v>
      </c>
    </row>
    <row r="31" spans="1:12" x14ac:dyDescent="0.3">
      <c r="A31">
        <v>81</v>
      </c>
      <c r="B31">
        <v>26998</v>
      </c>
      <c r="C31" t="s">
        <v>25</v>
      </c>
      <c r="D31" t="s">
        <v>22</v>
      </c>
      <c r="E31" t="s">
        <v>18</v>
      </c>
      <c r="F31" t="s">
        <v>23</v>
      </c>
      <c r="G31" s="1">
        <v>35966</v>
      </c>
      <c r="H31" s="1">
        <v>27774</v>
      </c>
      <c r="I31" t="s">
        <v>24</v>
      </c>
      <c r="J31">
        <v>19015</v>
      </c>
      <c r="K31">
        <v>0.84</v>
      </c>
      <c r="L31">
        <v>0.65</v>
      </c>
    </row>
    <row r="32" spans="1:12" x14ac:dyDescent="0.3">
      <c r="A32">
        <v>82</v>
      </c>
      <c r="B32">
        <v>31455</v>
      </c>
      <c r="C32" t="s">
        <v>47</v>
      </c>
      <c r="D32" t="s">
        <v>22</v>
      </c>
      <c r="E32" t="s">
        <v>18</v>
      </c>
      <c r="F32" t="s">
        <v>30</v>
      </c>
      <c r="G32" s="1">
        <v>36904</v>
      </c>
      <c r="H32" s="1">
        <v>29124</v>
      </c>
      <c r="I32" t="s">
        <v>24</v>
      </c>
      <c r="J32">
        <v>8138</v>
      </c>
      <c r="K32">
        <v>0.82</v>
      </c>
      <c r="L32">
        <v>0.83</v>
      </c>
    </row>
    <row r="33" spans="1:12" x14ac:dyDescent="0.3">
      <c r="A33">
        <v>89</v>
      </c>
      <c r="B33">
        <v>26425</v>
      </c>
      <c r="C33" t="s">
        <v>29</v>
      </c>
      <c r="D33" t="s">
        <v>22</v>
      </c>
      <c r="E33" t="s">
        <v>18</v>
      </c>
      <c r="F33" t="s">
        <v>30</v>
      </c>
      <c r="G33" s="1">
        <v>41191</v>
      </c>
      <c r="H33" s="1">
        <v>26439</v>
      </c>
      <c r="I33" t="s">
        <v>24</v>
      </c>
      <c r="J33">
        <v>5061</v>
      </c>
      <c r="K33">
        <v>0.75</v>
      </c>
      <c r="L33">
        <v>0.67</v>
      </c>
    </row>
    <row r="34" spans="1:12" x14ac:dyDescent="0.3">
      <c r="A34">
        <v>90</v>
      </c>
      <c r="B34">
        <v>26421</v>
      </c>
      <c r="C34" t="s">
        <v>31</v>
      </c>
      <c r="D34" t="s">
        <v>22</v>
      </c>
      <c r="E34" t="s">
        <v>18</v>
      </c>
      <c r="F34" t="s">
        <v>19</v>
      </c>
      <c r="G34" s="1">
        <v>41378</v>
      </c>
      <c r="H34" s="1">
        <v>26992</v>
      </c>
      <c r="I34" t="s">
        <v>24</v>
      </c>
      <c r="J34">
        <v>8005</v>
      </c>
      <c r="K34">
        <v>0.85</v>
      </c>
      <c r="L34">
        <v>0.75</v>
      </c>
    </row>
    <row r="35" spans="1:12" x14ac:dyDescent="0.3">
      <c r="A35">
        <v>91</v>
      </c>
      <c r="B35">
        <v>26419</v>
      </c>
      <c r="C35" t="s">
        <v>32</v>
      </c>
      <c r="D35" t="s">
        <v>22</v>
      </c>
      <c r="E35" t="s">
        <v>18</v>
      </c>
      <c r="F35" t="s">
        <v>23</v>
      </c>
      <c r="G35" s="1">
        <v>41594</v>
      </c>
      <c r="H35" s="1">
        <v>25655</v>
      </c>
      <c r="I35" t="s">
        <v>24</v>
      </c>
      <c r="J35">
        <v>7002</v>
      </c>
      <c r="K35">
        <v>0.87</v>
      </c>
      <c r="L35">
        <v>0.6</v>
      </c>
    </row>
    <row r="36" spans="1:12" x14ac:dyDescent="0.3">
      <c r="A36">
        <v>92</v>
      </c>
      <c r="B36">
        <v>28927</v>
      </c>
      <c r="C36" t="s">
        <v>33</v>
      </c>
      <c r="D36" t="s">
        <v>22</v>
      </c>
      <c r="E36" t="s">
        <v>18</v>
      </c>
      <c r="F36" t="s">
        <v>19</v>
      </c>
      <c r="G36" s="1">
        <v>41730</v>
      </c>
      <c r="H36" s="1">
        <v>25254</v>
      </c>
      <c r="I36" t="s">
        <v>24</v>
      </c>
      <c r="J36">
        <v>23284</v>
      </c>
      <c r="K36">
        <v>0.75</v>
      </c>
      <c r="L36">
        <v>0.84</v>
      </c>
    </row>
    <row r="37" spans="1:12" x14ac:dyDescent="0.3">
      <c r="A37">
        <v>93</v>
      </c>
      <c r="B37">
        <v>26748</v>
      </c>
      <c r="C37" t="s">
        <v>34</v>
      </c>
      <c r="D37" t="s">
        <v>22</v>
      </c>
      <c r="E37" t="s">
        <v>18</v>
      </c>
      <c r="F37" t="s">
        <v>19</v>
      </c>
      <c r="G37" s="1">
        <v>41771</v>
      </c>
      <c r="H37" s="1">
        <v>29985</v>
      </c>
      <c r="I37" t="s">
        <v>24</v>
      </c>
      <c r="J37">
        <v>20019</v>
      </c>
      <c r="K37">
        <v>0.89</v>
      </c>
      <c r="L37">
        <v>0.78</v>
      </c>
    </row>
    <row r="38" spans="1:12" x14ac:dyDescent="0.3">
      <c r="A38">
        <v>94</v>
      </c>
      <c r="B38">
        <v>27494</v>
      </c>
      <c r="C38" t="s">
        <v>44</v>
      </c>
      <c r="D38" t="s">
        <v>22</v>
      </c>
      <c r="E38" t="s">
        <v>18</v>
      </c>
      <c r="F38" t="s">
        <v>23</v>
      </c>
      <c r="G38" s="1">
        <v>41771</v>
      </c>
      <c r="H38" s="1">
        <v>28792</v>
      </c>
      <c r="I38" t="s">
        <v>24</v>
      </c>
      <c r="J38">
        <v>11645</v>
      </c>
      <c r="K38">
        <v>0.8</v>
      </c>
      <c r="L38">
        <v>0.62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2014-027E-416A-B155-030FA4F2BA8A}">
  <sheetPr>
    <tabColor theme="4"/>
  </sheetPr>
  <dimension ref="A1:U95"/>
  <sheetViews>
    <sheetView topLeftCell="A2" zoomScale="90" zoomScaleNormal="90" workbookViewId="0">
      <selection activeCell="B7" sqref="B7"/>
    </sheetView>
  </sheetViews>
  <sheetFormatPr defaultRowHeight="14.4" x14ac:dyDescent="0.3"/>
  <cols>
    <col min="1" max="1" width="9.33203125" bestFit="1" customWidth="1"/>
    <col min="2" max="2" width="13.109375" bestFit="1" customWidth="1"/>
    <col min="3" max="3" width="13.33203125" bestFit="1" customWidth="1"/>
    <col min="4" max="4" width="28.5546875" bestFit="1" customWidth="1"/>
    <col min="5" max="5" width="9.33203125" bestFit="1" customWidth="1"/>
    <col min="6" max="6" width="8.109375" bestFit="1" customWidth="1"/>
    <col min="7" max="7" width="12.6640625" bestFit="1" customWidth="1"/>
    <col min="8" max="8" width="12.33203125" bestFit="1" customWidth="1"/>
    <col min="9" max="9" width="14.5546875" bestFit="1" customWidth="1"/>
    <col min="10" max="10" width="7.88671875" bestFit="1" customWidth="1"/>
    <col min="11" max="12" width="11.88671875" bestFit="1" customWidth="1"/>
    <col min="13" max="13" width="17.109375" bestFit="1" customWidth="1"/>
    <col min="14" max="14" width="13.44140625" bestFit="1" customWidth="1"/>
    <col min="15" max="15" width="27.44140625" bestFit="1" customWidth="1"/>
    <col min="16" max="16" width="8.21875" bestFit="1" customWidth="1"/>
    <col min="17" max="17" width="23.44140625" bestFit="1" customWidth="1"/>
    <col min="18" max="18" width="14.77734375" bestFit="1" customWidth="1"/>
    <col min="19" max="19" width="19.33203125" bestFit="1" customWidth="1"/>
    <col min="20" max="20" width="22" bestFit="1" customWidth="1"/>
    <col min="21" max="21" width="15" bestFit="1" customWidth="1"/>
  </cols>
  <sheetData>
    <row r="1" spans="1:21"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t="s">
        <v>109</v>
      </c>
      <c r="R1" t="s">
        <v>110</v>
      </c>
      <c r="S1" t="s">
        <v>111</v>
      </c>
      <c r="T1" t="s">
        <v>112</v>
      </c>
      <c r="U1" t="s">
        <v>113</v>
      </c>
    </row>
    <row r="2" spans="1:21" x14ac:dyDescent="0.3">
      <c r="A2">
        <v>5</v>
      </c>
      <c r="B2">
        <v>27375</v>
      </c>
      <c r="C2" t="s">
        <v>16</v>
      </c>
      <c r="D2" t="s">
        <v>17</v>
      </c>
      <c r="E2" t="s">
        <v>18</v>
      </c>
      <c r="F2" t="s">
        <v>55</v>
      </c>
      <c r="G2" s="1">
        <v>36741</v>
      </c>
      <c r="H2" s="1">
        <v>29281</v>
      </c>
      <c r="I2" t="s">
        <v>20</v>
      </c>
      <c r="J2">
        <v>35000</v>
      </c>
      <c r="K2">
        <v>0.89</v>
      </c>
      <c r="L2">
        <v>0.52</v>
      </c>
      <c r="M2">
        <v>46</v>
      </c>
      <c r="N2">
        <v>25</v>
      </c>
      <c r="O2">
        <v>0.70500000000000007</v>
      </c>
      <c r="P2">
        <v>-0.37</v>
      </c>
      <c r="Q2" t="s">
        <v>114</v>
      </c>
      <c r="R2" t="s">
        <v>115</v>
      </c>
      <c r="S2" t="s">
        <v>116</v>
      </c>
      <c r="T2" t="s">
        <v>117</v>
      </c>
      <c r="U2" t="s">
        <v>118</v>
      </c>
    </row>
    <row r="3" spans="1:21" x14ac:dyDescent="0.3">
      <c r="A3">
        <v>10</v>
      </c>
      <c r="B3">
        <v>30377</v>
      </c>
      <c r="C3" t="s">
        <v>21</v>
      </c>
      <c r="D3" t="s">
        <v>22</v>
      </c>
      <c r="E3" t="s">
        <v>18</v>
      </c>
      <c r="F3" t="s">
        <v>51</v>
      </c>
      <c r="G3" s="1">
        <v>40362</v>
      </c>
      <c r="H3" s="1">
        <v>25550</v>
      </c>
      <c r="I3" t="s">
        <v>24</v>
      </c>
      <c r="J3">
        <v>17456</v>
      </c>
      <c r="K3">
        <v>0.87</v>
      </c>
      <c r="L3">
        <v>0.97</v>
      </c>
      <c r="M3">
        <v>56</v>
      </c>
      <c r="N3">
        <v>15</v>
      </c>
      <c r="O3">
        <v>0.91999999999999993</v>
      </c>
      <c r="P3">
        <v>9.9999999999999978E-2</v>
      </c>
      <c r="Q3" t="s">
        <v>119</v>
      </c>
      <c r="R3" t="s">
        <v>120</v>
      </c>
      <c r="S3" t="s">
        <v>116</v>
      </c>
      <c r="T3" t="s">
        <v>117</v>
      </c>
      <c r="U3" t="s">
        <v>117</v>
      </c>
    </row>
    <row r="4" spans="1:21" x14ac:dyDescent="0.3">
      <c r="A4">
        <v>11</v>
      </c>
      <c r="B4">
        <v>29369</v>
      </c>
      <c r="C4" t="s">
        <v>25</v>
      </c>
      <c r="D4" t="s">
        <v>22</v>
      </c>
      <c r="E4" t="s">
        <v>18</v>
      </c>
      <c r="F4" t="s">
        <v>51</v>
      </c>
      <c r="G4" s="1">
        <v>42326</v>
      </c>
      <c r="H4" s="1">
        <v>28807</v>
      </c>
      <c r="I4" t="s">
        <v>24</v>
      </c>
      <c r="J4">
        <v>7943</v>
      </c>
      <c r="K4">
        <v>0.75</v>
      </c>
      <c r="L4">
        <v>0.7</v>
      </c>
      <c r="M4">
        <v>47</v>
      </c>
      <c r="N4">
        <v>10</v>
      </c>
      <c r="O4">
        <v>0.72499999999999998</v>
      </c>
      <c r="P4">
        <v>-5.0000000000000044E-2</v>
      </c>
      <c r="Q4" t="s">
        <v>114</v>
      </c>
      <c r="R4" t="s">
        <v>121</v>
      </c>
      <c r="S4" t="s">
        <v>122</v>
      </c>
      <c r="T4" t="s">
        <v>123</v>
      </c>
      <c r="U4" t="s">
        <v>118</v>
      </c>
    </row>
    <row r="5" spans="1:21" x14ac:dyDescent="0.3">
      <c r="A5">
        <v>16</v>
      </c>
      <c r="B5">
        <v>27142</v>
      </c>
      <c r="C5" t="s">
        <v>26</v>
      </c>
      <c r="D5" t="s">
        <v>22</v>
      </c>
      <c r="E5" t="s">
        <v>18</v>
      </c>
      <c r="F5" t="s">
        <v>51</v>
      </c>
      <c r="G5" s="1">
        <v>40688</v>
      </c>
      <c r="H5" s="1">
        <v>26102</v>
      </c>
      <c r="I5" t="s">
        <v>24</v>
      </c>
      <c r="J5">
        <v>16613</v>
      </c>
      <c r="K5">
        <v>0.84</v>
      </c>
      <c r="L5">
        <v>0.42</v>
      </c>
      <c r="M5">
        <v>55</v>
      </c>
      <c r="N5">
        <v>15</v>
      </c>
      <c r="O5">
        <v>0.63</v>
      </c>
      <c r="P5">
        <v>-0.42</v>
      </c>
      <c r="Q5" t="s">
        <v>114</v>
      </c>
      <c r="R5" t="s">
        <v>120</v>
      </c>
      <c r="S5" t="s">
        <v>116</v>
      </c>
      <c r="T5" t="s">
        <v>117</v>
      </c>
      <c r="U5" t="s">
        <v>117</v>
      </c>
    </row>
    <row r="6" spans="1:21" x14ac:dyDescent="0.3">
      <c r="A6">
        <v>17</v>
      </c>
      <c r="B6">
        <v>27650</v>
      </c>
      <c r="C6" t="s">
        <v>27</v>
      </c>
      <c r="D6" t="s">
        <v>22</v>
      </c>
      <c r="E6" t="s">
        <v>18</v>
      </c>
      <c r="F6" t="s">
        <v>51</v>
      </c>
      <c r="G6" s="1">
        <v>40726</v>
      </c>
      <c r="H6" s="1">
        <v>29194</v>
      </c>
      <c r="I6" t="s">
        <v>24</v>
      </c>
      <c r="J6">
        <v>6329</v>
      </c>
      <c r="K6">
        <v>0.81</v>
      </c>
      <c r="L6">
        <v>0.71</v>
      </c>
      <c r="M6">
        <v>46</v>
      </c>
      <c r="N6">
        <v>14</v>
      </c>
      <c r="O6">
        <v>0.76</v>
      </c>
      <c r="P6">
        <v>-0.10000000000000009</v>
      </c>
      <c r="Q6" t="s">
        <v>114</v>
      </c>
      <c r="R6" t="s">
        <v>121</v>
      </c>
      <c r="S6" t="s">
        <v>122</v>
      </c>
      <c r="T6" t="s">
        <v>123</v>
      </c>
      <c r="U6" t="s">
        <v>118</v>
      </c>
    </row>
    <row r="7" spans="1:21" x14ac:dyDescent="0.3">
      <c r="A7">
        <v>18</v>
      </c>
      <c r="B7">
        <v>25906</v>
      </c>
      <c r="C7" t="s">
        <v>28</v>
      </c>
      <c r="D7" t="s">
        <v>22</v>
      </c>
      <c r="E7" t="s">
        <v>18</v>
      </c>
      <c r="F7" t="s">
        <v>55</v>
      </c>
      <c r="G7" s="1">
        <v>41498</v>
      </c>
      <c r="H7" s="1">
        <v>29664</v>
      </c>
      <c r="I7" t="s">
        <v>24</v>
      </c>
      <c r="J7">
        <v>17215</v>
      </c>
      <c r="K7">
        <v>0.8</v>
      </c>
      <c r="L7">
        <v>0.87</v>
      </c>
      <c r="M7">
        <v>45</v>
      </c>
      <c r="N7">
        <v>12</v>
      </c>
      <c r="O7">
        <v>0.83499999999999996</v>
      </c>
      <c r="P7">
        <v>6.9999999999999951E-2</v>
      </c>
      <c r="Q7" t="s">
        <v>119</v>
      </c>
      <c r="R7" t="s">
        <v>120</v>
      </c>
      <c r="S7" t="s">
        <v>122</v>
      </c>
      <c r="T7" t="s">
        <v>123</v>
      </c>
      <c r="U7" t="s">
        <v>118</v>
      </c>
    </row>
    <row r="8" spans="1:21" x14ac:dyDescent="0.3">
      <c r="A8">
        <v>19</v>
      </c>
      <c r="B8">
        <v>26439</v>
      </c>
      <c r="C8" t="s">
        <v>29</v>
      </c>
      <c r="D8" t="s">
        <v>22</v>
      </c>
      <c r="E8" t="s">
        <v>18</v>
      </c>
      <c r="F8" t="s">
        <v>30</v>
      </c>
      <c r="G8" s="1">
        <v>41905</v>
      </c>
      <c r="H8" s="1">
        <v>25213</v>
      </c>
      <c r="I8" t="s">
        <v>24</v>
      </c>
      <c r="J8">
        <v>4799</v>
      </c>
      <c r="K8">
        <v>0.86</v>
      </c>
      <c r="L8">
        <v>0.64</v>
      </c>
      <c r="M8">
        <v>57</v>
      </c>
      <c r="N8">
        <v>11</v>
      </c>
      <c r="O8">
        <v>0.75</v>
      </c>
      <c r="P8">
        <v>-0.21999999999999997</v>
      </c>
      <c r="Q8" t="s">
        <v>114</v>
      </c>
      <c r="R8" t="s">
        <v>124</v>
      </c>
      <c r="S8" t="s">
        <v>122</v>
      </c>
      <c r="T8" t="s">
        <v>123</v>
      </c>
      <c r="U8" t="s">
        <v>117</v>
      </c>
    </row>
    <row r="9" spans="1:21" x14ac:dyDescent="0.3">
      <c r="A9">
        <v>20</v>
      </c>
      <c r="B9">
        <v>26438</v>
      </c>
      <c r="C9" t="s">
        <v>31</v>
      </c>
      <c r="D9" t="s">
        <v>22</v>
      </c>
      <c r="E9" t="s">
        <v>18</v>
      </c>
      <c r="F9" t="s">
        <v>30</v>
      </c>
      <c r="G9" s="1">
        <v>41923</v>
      </c>
      <c r="H9" s="1">
        <v>25210</v>
      </c>
      <c r="I9" t="s">
        <v>24</v>
      </c>
      <c r="J9">
        <v>18547</v>
      </c>
      <c r="K9">
        <v>0.82</v>
      </c>
      <c r="L9">
        <v>0.65</v>
      </c>
      <c r="M9">
        <v>57</v>
      </c>
      <c r="N9">
        <v>11</v>
      </c>
      <c r="O9">
        <v>0.73499999999999999</v>
      </c>
      <c r="P9">
        <v>-0.16999999999999993</v>
      </c>
      <c r="Q9" t="s">
        <v>114</v>
      </c>
      <c r="R9" t="s">
        <v>120</v>
      </c>
      <c r="S9" t="s">
        <v>122</v>
      </c>
      <c r="T9" t="s">
        <v>123</v>
      </c>
      <c r="U9" t="s">
        <v>117</v>
      </c>
    </row>
    <row r="10" spans="1:21" x14ac:dyDescent="0.3">
      <c r="A10">
        <v>21</v>
      </c>
      <c r="B10">
        <v>31456</v>
      </c>
      <c r="C10" t="s">
        <v>32</v>
      </c>
      <c r="D10" t="s">
        <v>22</v>
      </c>
      <c r="E10" t="s">
        <v>18</v>
      </c>
      <c r="F10" t="s">
        <v>51</v>
      </c>
      <c r="G10" s="1">
        <v>42105</v>
      </c>
      <c r="H10" s="1">
        <v>23312</v>
      </c>
      <c r="I10" t="s">
        <v>24</v>
      </c>
      <c r="J10">
        <v>4649</v>
      </c>
      <c r="K10">
        <v>0.75</v>
      </c>
      <c r="L10">
        <v>0.78</v>
      </c>
      <c r="M10">
        <v>62</v>
      </c>
      <c r="N10">
        <v>11</v>
      </c>
      <c r="O10">
        <v>0.76500000000000001</v>
      </c>
      <c r="P10">
        <v>3.0000000000000027E-2</v>
      </c>
      <c r="Q10" t="s">
        <v>114</v>
      </c>
      <c r="R10" t="s">
        <v>124</v>
      </c>
      <c r="S10" t="s">
        <v>122</v>
      </c>
      <c r="T10" t="s">
        <v>123</v>
      </c>
      <c r="U10" t="s">
        <v>117</v>
      </c>
    </row>
    <row r="11" spans="1:21" x14ac:dyDescent="0.3">
      <c r="A11">
        <v>22</v>
      </c>
      <c r="B11">
        <v>27141</v>
      </c>
      <c r="C11" t="s">
        <v>33</v>
      </c>
      <c r="D11" t="s">
        <v>22</v>
      </c>
      <c r="E11" t="s">
        <v>18</v>
      </c>
      <c r="F11" t="s">
        <v>55</v>
      </c>
      <c r="G11" s="1">
        <v>42105</v>
      </c>
      <c r="H11" s="1">
        <v>30808</v>
      </c>
      <c r="I11" t="s">
        <v>24</v>
      </c>
      <c r="J11">
        <v>15173</v>
      </c>
      <c r="K11">
        <v>0.85</v>
      </c>
      <c r="L11">
        <v>0.96</v>
      </c>
      <c r="M11">
        <v>42</v>
      </c>
      <c r="N11">
        <v>11</v>
      </c>
      <c r="O11">
        <v>0.90500000000000003</v>
      </c>
      <c r="P11">
        <v>0.10999999999999999</v>
      </c>
      <c r="Q11" t="s">
        <v>119</v>
      </c>
      <c r="R11" t="s">
        <v>120</v>
      </c>
      <c r="S11" t="s">
        <v>122</v>
      </c>
      <c r="T11" t="s">
        <v>123</v>
      </c>
      <c r="U11" t="s">
        <v>118</v>
      </c>
    </row>
    <row r="12" spans="1:21" x14ac:dyDescent="0.3">
      <c r="A12">
        <v>23</v>
      </c>
      <c r="B12">
        <v>26448</v>
      </c>
      <c r="C12" t="s">
        <v>34</v>
      </c>
      <c r="D12" t="s">
        <v>22</v>
      </c>
      <c r="E12" t="s">
        <v>18</v>
      </c>
      <c r="F12" t="s">
        <v>55</v>
      </c>
      <c r="G12" s="1">
        <v>42469</v>
      </c>
      <c r="H12" s="1">
        <v>30487</v>
      </c>
      <c r="I12" t="s">
        <v>24</v>
      </c>
      <c r="J12">
        <v>18240</v>
      </c>
      <c r="K12">
        <v>0.89</v>
      </c>
      <c r="L12">
        <v>0.61</v>
      </c>
      <c r="M12">
        <v>42</v>
      </c>
      <c r="N12">
        <v>10</v>
      </c>
      <c r="O12">
        <v>0.75</v>
      </c>
      <c r="P12">
        <v>-0.28000000000000003</v>
      </c>
      <c r="Q12" t="s">
        <v>114</v>
      </c>
      <c r="R12" t="s">
        <v>120</v>
      </c>
      <c r="S12" t="s">
        <v>122</v>
      </c>
      <c r="T12" t="s">
        <v>123</v>
      </c>
      <c r="U12" t="s">
        <v>118</v>
      </c>
    </row>
    <row r="13" spans="1:21" x14ac:dyDescent="0.3">
      <c r="A13">
        <v>31</v>
      </c>
      <c r="B13">
        <v>26437</v>
      </c>
      <c r="C13" t="s">
        <v>35</v>
      </c>
      <c r="D13" t="s">
        <v>22</v>
      </c>
      <c r="E13" t="s">
        <v>18</v>
      </c>
      <c r="F13" t="s">
        <v>55</v>
      </c>
      <c r="G13" s="1">
        <v>41923</v>
      </c>
      <c r="H13" s="1">
        <v>27988</v>
      </c>
      <c r="I13" t="s">
        <v>24</v>
      </c>
      <c r="J13">
        <v>3445</v>
      </c>
      <c r="K13">
        <v>0.78</v>
      </c>
      <c r="L13">
        <v>0.65</v>
      </c>
      <c r="M13">
        <v>49</v>
      </c>
      <c r="N13">
        <v>11</v>
      </c>
      <c r="O13">
        <v>0.71500000000000008</v>
      </c>
      <c r="P13">
        <v>-0.13</v>
      </c>
      <c r="Q13" t="s">
        <v>114</v>
      </c>
      <c r="R13" t="s">
        <v>124</v>
      </c>
      <c r="S13" t="s">
        <v>122</v>
      </c>
      <c r="T13" t="s">
        <v>123</v>
      </c>
      <c r="U13" t="s">
        <v>118</v>
      </c>
    </row>
    <row r="14" spans="1:21" x14ac:dyDescent="0.3">
      <c r="A14">
        <v>32</v>
      </c>
      <c r="B14">
        <v>27960</v>
      </c>
      <c r="C14" t="s">
        <v>36</v>
      </c>
      <c r="D14" t="s">
        <v>22</v>
      </c>
      <c r="E14" t="s">
        <v>18</v>
      </c>
      <c r="F14" t="s">
        <v>51</v>
      </c>
      <c r="G14" s="1">
        <v>42417</v>
      </c>
      <c r="H14" s="1">
        <v>23641</v>
      </c>
      <c r="I14" t="s">
        <v>24</v>
      </c>
      <c r="J14">
        <v>13889</v>
      </c>
      <c r="K14">
        <v>0.85</v>
      </c>
      <c r="L14">
        <v>0.61</v>
      </c>
      <c r="M14">
        <v>61</v>
      </c>
      <c r="N14">
        <v>10</v>
      </c>
      <c r="O14">
        <v>0.73</v>
      </c>
      <c r="P14">
        <v>-0.24</v>
      </c>
      <c r="Q14" t="s">
        <v>114</v>
      </c>
      <c r="R14" t="s">
        <v>120</v>
      </c>
      <c r="S14" t="s">
        <v>122</v>
      </c>
      <c r="T14" t="s">
        <v>123</v>
      </c>
      <c r="U14" t="s">
        <v>117</v>
      </c>
    </row>
    <row r="15" spans="1:21" x14ac:dyDescent="0.3">
      <c r="A15">
        <v>37</v>
      </c>
      <c r="B15">
        <v>27003</v>
      </c>
      <c r="C15" t="s">
        <v>37</v>
      </c>
      <c r="D15" t="s">
        <v>22</v>
      </c>
      <c r="E15" t="s">
        <v>18</v>
      </c>
      <c r="F15" t="s">
        <v>55</v>
      </c>
      <c r="G15" s="1">
        <v>43121</v>
      </c>
      <c r="H15" s="1">
        <v>29256</v>
      </c>
      <c r="I15" t="s">
        <v>24</v>
      </c>
      <c r="J15">
        <v>23467</v>
      </c>
      <c r="K15">
        <v>0.79</v>
      </c>
      <c r="L15">
        <v>0.95</v>
      </c>
      <c r="M15">
        <v>46</v>
      </c>
      <c r="N15">
        <v>8</v>
      </c>
      <c r="O15">
        <v>0.87</v>
      </c>
      <c r="P15">
        <v>0.15999999999999992</v>
      </c>
      <c r="Q15" t="s">
        <v>119</v>
      </c>
      <c r="R15" t="s">
        <v>115</v>
      </c>
      <c r="S15" t="s">
        <v>125</v>
      </c>
      <c r="T15" t="s">
        <v>126</v>
      </c>
      <c r="U15" t="s">
        <v>118</v>
      </c>
    </row>
    <row r="16" spans="1:21" x14ac:dyDescent="0.3">
      <c r="A16">
        <v>38</v>
      </c>
      <c r="B16">
        <v>26440</v>
      </c>
      <c r="C16" t="s">
        <v>38</v>
      </c>
      <c r="D16" t="s">
        <v>22</v>
      </c>
      <c r="E16" t="s">
        <v>18</v>
      </c>
      <c r="F16" t="s">
        <v>51</v>
      </c>
      <c r="G16" s="1">
        <v>43121</v>
      </c>
      <c r="H16" s="1">
        <v>28364</v>
      </c>
      <c r="I16" t="s">
        <v>24</v>
      </c>
      <c r="J16">
        <v>2486</v>
      </c>
      <c r="K16">
        <v>0.83</v>
      </c>
      <c r="L16">
        <v>0.67</v>
      </c>
      <c r="M16">
        <v>48</v>
      </c>
      <c r="N16">
        <v>8</v>
      </c>
      <c r="O16">
        <v>0.75</v>
      </c>
      <c r="P16">
        <v>-0.15999999999999992</v>
      </c>
      <c r="Q16" t="s">
        <v>114</v>
      </c>
      <c r="R16" t="s">
        <v>124</v>
      </c>
      <c r="S16" t="s">
        <v>125</v>
      </c>
      <c r="T16" t="s">
        <v>126</v>
      </c>
      <c r="U16" t="s">
        <v>118</v>
      </c>
    </row>
    <row r="17" spans="1:21" x14ac:dyDescent="0.3">
      <c r="A17">
        <v>39</v>
      </c>
      <c r="B17">
        <v>26433</v>
      </c>
      <c r="C17" t="s">
        <v>39</v>
      </c>
      <c r="D17" t="s">
        <v>22</v>
      </c>
      <c r="E17" t="s">
        <v>18</v>
      </c>
      <c r="F17" t="s">
        <v>51</v>
      </c>
      <c r="G17" s="1">
        <v>43121</v>
      </c>
      <c r="H17" s="1">
        <v>23497</v>
      </c>
      <c r="I17" t="s">
        <v>24</v>
      </c>
      <c r="J17">
        <v>9365</v>
      </c>
      <c r="K17">
        <v>0.84</v>
      </c>
      <c r="L17">
        <v>0.4</v>
      </c>
      <c r="M17">
        <v>62</v>
      </c>
      <c r="N17">
        <v>8</v>
      </c>
      <c r="O17">
        <v>0.62</v>
      </c>
      <c r="P17">
        <v>-0.43999999999999995</v>
      </c>
      <c r="Q17" t="s">
        <v>114</v>
      </c>
      <c r="R17" t="s">
        <v>121</v>
      </c>
      <c r="S17" t="s">
        <v>125</v>
      </c>
      <c r="T17" t="s">
        <v>126</v>
      </c>
      <c r="U17" t="s">
        <v>117</v>
      </c>
    </row>
    <row r="18" spans="1:21" x14ac:dyDescent="0.3">
      <c r="A18">
        <v>40</v>
      </c>
      <c r="B18">
        <v>31457</v>
      </c>
      <c r="C18" t="s">
        <v>40</v>
      </c>
      <c r="D18" t="s">
        <v>22</v>
      </c>
      <c r="E18" t="s">
        <v>18</v>
      </c>
      <c r="F18" t="s">
        <v>55</v>
      </c>
      <c r="G18" s="1">
        <v>36312</v>
      </c>
      <c r="H18" s="1">
        <v>23532</v>
      </c>
      <c r="I18" t="s">
        <v>24</v>
      </c>
      <c r="J18">
        <v>22438</v>
      </c>
      <c r="K18">
        <v>0.82</v>
      </c>
      <c r="L18">
        <v>0.56999999999999995</v>
      </c>
      <c r="M18">
        <v>62</v>
      </c>
      <c r="N18">
        <v>27</v>
      </c>
      <c r="O18">
        <v>0.69499999999999995</v>
      </c>
      <c r="P18">
        <v>-0.25</v>
      </c>
      <c r="Q18" t="s">
        <v>114</v>
      </c>
      <c r="R18" t="s">
        <v>115</v>
      </c>
      <c r="S18" t="s">
        <v>116</v>
      </c>
      <c r="T18" t="s">
        <v>117</v>
      </c>
      <c r="U18" t="s">
        <v>117</v>
      </c>
    </row>
    <row r="19" spans="1:21" x14ac:dyDescent="0.3">
      <c r="A19">
        <v>41</v>
      </c>
      <c r="B19">
        <v>27648</v>
      </c>
      <c r="C19" t="s">
        <v>41</v>
      </c>
      <c r="D19" t="s">
        <v>22</v>
      </c>
      <c r="E19" t="s">
        <v>18</v>
      </c>
      <c r="F19" t="s">
        <v>55</v>
      </c>
      <c r="G19" s="1">
        <v>38115</v>
      </c>
      <c r="H19" s="1">
        <v>32743</v>
      </c>
      <c r="I19" t="s">
        <v>24</v>
      </c>
      <c r="J19">
        <v>20869</v>
      </c>
      <c r="K19">
        <v>0.77</v>
      </c>
      <c r="L19">
        <v>0.41</v>
      </c>
      <c r="M19">
        <v>36</v>
      </c>
      <c r="N19">
        <v>22</v>
      </c>
      <c r="O19">
        <v>0.59</v>
      </c>
      <c r="P19">
        <v>-0.36000000000000004</v>
      </c>
      <c r="Q19" t="s">
        <v>127</v>
      </c>
      <c r="R19" t="s">
        <v>115</v>
      </c>
      <c r="S19" t="s">
        <v>116</v>
      </c>
      <c r="T19" t="s">
        <v>117</v>
      </c>
      <c r="U19" t="s">
        <v>118</v>
      </c>
    </row>
    <row r="20" spans="1:21" x14ac:dyDescent="0.3">
      <c r="A20">
        <v>42</v>
      </c>
      <c r="B20">
        <v>27858</v>
      </c>
      <c r="C20" t="s">
        <v>16</v>
      </c>
      <c r="D20" t="s">
        <v>22</v>
      </c>
      <c r="E20" t="s">
        <v>18</v>
      </c>
      <c r="F20" t="s">
        <v>51</v>
      </c>
      <c r="G20" s="1">
        <v>40850</v>
      </c>
      <c r="H20" s="1">
        <v>28621</v>
      </c>
      <c r="I20" t="s">
        <v>24</v>
      </c>
      <c r="J20">
        <v>1428</v>
      </c>
      <c r="K20">
        <v>0.87</v>
      </c>
      <c r="L20">
        <v>0.96</v>
      </c>
      <c r="M20">
        <v>48</v>
      </c>
      <c r="N20">
        <v>14</v>
      </c>
      <c r="O20">
        <v>0.91500000000000004</v>
      </c>
      <c r="P20">
        <v>8.9999999999999969E-2</v>
      </c>
      <c r="Q20" t="s">
        <v>119</v>
      </c>
      <c r="R20" t="s">
        <v>124</v>
      </c>
      <c r="S20" t="s">
        <v>122</v>
      </c>
      <c r="T20" t="s">
        <v>123</v>
      </c>
      <c r="U20" t="s">
        <v>118</v>
      </c>
    </row>
    <row r="21" spans="1:21" x14ac:dyDescent="0.3">
      <c r="A21">
        <v>43</v>
      </c>
      <c r="B21">
        <v>26444</v>
      </c>
      <c r="C21" t="s">
        <v>42</v>
      </c>
      <c r="D21" t="s">
        <v>22</v>
      </c>
      <c r="E21" t="s">
        <v>18</v>
      </c>
      <c r="F21" t="s">
        <v>55</v>
      </c>
      <c r="G21" s="1">
        <v>35868</v>
      </c>
      <c r="H21" s="1">
        <v>28782</v>
      </c>
      <c r="I21" t="s">
        <v>24</v>
      </c>
      <c r="J21">
        <v>16767</v>
      </c>
      <c r="K21">
        <v>0.84</v>
      </c>
      <c r="L21">
        <v>0.69</v>
      </c>
      <c r="M21">
        <v>47</v>
      </c>
      <c r="N21">
        <v>28</v>
      </c>
      <c r="O21">
        <v>0.7649999999999999</v>
      </c>
      <c r="P21">
        <v>-0.15000000000000002</v>
      </c>
      <c r="Q21" t="s">
        <v>114</v>
      </c>
      <c r="R21" t="s">
        <v>120</v>
      </c>
      <c r="S21" t="s">
        <v>116</v>
      </c>
      <c r="T21" t="s">
        <v>117</v>
      </c>
      <c r="U21" t="s">
        <v>118</v>
      </c>
    </row>
    <row r="22" spans="1:21" x14ac:dyDescent="0.3">
      <c r="A22">
        <v>51</v>
      </c>
      <c r="B22">
        <v>28126</v>
      </c>
      <c r="C22" t="s">
        <v>43</v>
      </c>
      <c r="D22" t="s">
        <v>22</v>
      </c>
      <c r="E22" t="s">
        <v>18</v>
      </c>
      <c r="F22" t="s">
        <v>55</v>
      </c>
      <c r="G22" s="1">
        <v>38930</v>
      </c>
      <c r="H22" s="1">
        <v>28166</v>
      </c>
      <c r="I22" t="s">
        <v>24</v>
      </c>
      <c r="J22">
        <v>12122</v>
      </c>
      <c r="K22">
        <v>0.76</v>
      </c>
      <c r="L22">
        <v>0.67</v>
      </c>
      <c r="M22">
        <v>49</v>
      </c>
      <c r="N22">
        <v>19</v>
      </c>
      <c r="O22">
        <v>0.71500000000000008</v>
      </c>
      <c r="P22">
        <v>-8.9999999999999969E-2</v>
      </c>
      <c r="Q22" t="s">
        <v>114</v>
      </c>
      <c r="R22" t="s">
        <v>120</v>
      </c>
      <c r="S22" t="s">
        <v>116</v>
      </c>
      <c r="T22" t="s">
        <v>117</v>
      </c>
      <c r="U22" t="s">
        <v>118</v>
      </c>
    </row>
    <row r="23" spans="1:21" x14ac:dyDescent="0.3">
      <c r="A23">
        <v>52</v>
      </c>
      <c r="B23">
        <v>26413</v>
      </c>
      <c r="C23" t="s">
        <v>26</v>
      </c>
      <c r="D23" t="s">
        <v>22</v>
      </c>
      <c r="E23" t="s">
        <v>18</v>
      </c>
      <c r="F23" t="s">
        <v>51</v>
      </c>
      <c r="G23" s="1">
        <v>39144</v>
      </c>
      <c r="H23" s="1">
        <v>25356</v>
      </c>
      <c r="I23" t="s">
        <v>24</v>
      </c>
      <c r="J23">
        <v>24004</v>
      </c>
      <c r="K23">
        <v>0.81</v>
      </c>
      <c r="L23">
        <v>0.77</v>
      </c>
      <c r="M23">
        <v>57</v>
      </c>
      <c r="N23">
        <v>19</v>
      </c>
      <c r="O23">
        <v>0.79</v>
      </c>
      <c r="P23">
        <v>-4.0000000000000036E-2</v>
      </c>
      <c r="Q23" t="s">
        <v>114</v>
      </c>
      <c r="R23" t="s">
        <v>115</v>
      </c>
      <c r="S23" t="s">
        <v>116</v>
      </c>
      <c r="T23" t="s">
        <v>117</v>
      </c>
      <c r="U23" t="s">
        <v>117</v>
      </c>
    </row>
    <row r="24" spans="1:21" x14ac:dyDescent="0.3">
      <c r="A24">
        <v>59</v>
      </c>
      <c r="B24">
        <v>26347</v>
      </c>
      <c r="C24" t="s">
        <v>34</v>
      </c>
      <c r="D24" t="s">
        <v>22</v>
      </c>
      <c r="E24" t="s">
        <v>18</v>
      </c>
      <c r="F24" t="s">
        <v>51</v>
      </c>
      <c r="G24" s="1">
        <v>42576</v>
      </c>
      <c r="H24" s="1">
        <v>32599</v>
      </c>
      <c r="I24" t="s">
        <v>24</v>
      </c>
      <c r="J24">
        <v>7329</v>
      </c>
      <c r="K24">
        <v>0.86</v>
      </c>
      <c r="L24">
        <v>0.61</v>
      </c>
      <c r="M24">
        <v>37</v>
      </c>
      <c r="N24">
        <v>9</v>
      </c>
      <c r="O24">
        <v>0.73499999999999999</v>
      </c>
      <c r="P24">
        <v>-0.25</v>
      </c>
      <c r="Q24" t="s">
        <v>114</v>
      </c>
      <c r="R24" t="s">
        <v>121</v>
      </c>
      <c r="S24" t="s">
        <v>125</v>
      </c>
      <c r="T24" t="s">
        <v>126</v>
      </c>
      <c r="U24" t="s">
        <v>118</v>
      </c>
    </row>
    <row r="25" spans="1:21" x14ac:dyDescent="0.3">
      <c r="A25">
        <v>60</v>
      </c>
      <c r="B25">
        <v>26430</v>
      </c>
      <c r="C25" t="s">
        <v>44</v>
      </c>
      <c r="D25" t="s">
        <v>22</v>
      </c>
      <c r="E25" t="s">
        <v>18</v>
      </c>
      <c r="F25" t="s">
        <v>51</v>
      </c>
      <c r="G25" s="1">
        <v>41951</v>
      </c>
      <c r="H25" s="1">
        <v>25803</v>
      </c>
      <c r="I25" t="s">
        <v>24</v>
      </c>
      <c r="J25">
        <v>20603</v>
      </c>
      <c r="K25">
        <v>0.88</v>
      </c>
      <c r="L25">
        <v>0.76</v>
      </c>
      <c r="M25">
        <v>55</v>
      </c>
      <c r="N25">
        <v>11</v>
      </c>
      <c r="O25">
        <v>0.82000000000000006</v>
      </c>
      <c r="P25">
        <v>-0.12</v>
      </c>
      <c r="Q25" t="s">
        <v>119</v>
      </c>
      <c r="R25" t="s">
        <v>115</v>
      </c>
      <c r="S25" t="s">
        <v>122</v>
      </c>
      <c r="T25" t="s">
        <v>123</v>
      </c>
      <c r="U25" t="s">
        <v>117</v>
      </c>
    </row>
    <row r="26" spans="1:21" x14ac:dyDescent="0.3">
      <c r="A26">
        <v>72</v>
      </c>
      <c r="B26">
        <v>26991</v>
      </c>
      <c r="C26" t="s">
        <v>38</v>
      </c>
      <c r="D26" t="s">
        <v>22</v>
      </c>
      <c r="E26" t="s">
        <v>18</v>
      </c>
      <c r="F26" t="s">
        <v>55</v>
      </c>
      <c r="G26" s="1">
        <v>40952</v>
      </c>
      <c r="H26" s="1">
        <v>29256</v>
      </c>
      <c r="I26" t="s">
        <v>24</v>
      </c>
      <c r="J26">
        <v>18091</v>
      </c>
      <c r="K26">
        <v>0.84</v>
      </c>
      <c r="L26">
        <v>0.91</v>
      </c>
      <c r="M26">
        <v>46</v>
      </c>
      <c r="N26">
        <v>14</v>
      </c>
      <c r="O26">
        <v>0.875</v>
      </c>
      <c r="P26">
        <v>7.0000000000000062E-2</v>
      </c>
      <c r="Q26" t="s">
        <v>119</v>
      </c>
      <c r="R26" t="s">
        <v>120</v>
      </c>
      <c r="S26" t="s">
        <v>122</v>
      </c>
      <c r="T26" t="s">
        <v>123</v>
      </c>
      <c r="U26" t="s">
        <v>118</v>
      </c>
    </row>
    <row r="27" spans="1:21" x14ac:dyDescent="0.3">
      <c r="A27">
        <v>73</v>
      </c>
      <c r="B27">
        <v>27618</v>
      </c>
      <c r="C27" t="s">
        <v>39</v>
      </c>
      <c r="D27" t="s">
        <v>22</v>
      </c>
      <c r="E27" t="s">
        <v>18</v>
      </c>
      <c r="F27" t="s">
        <v>55</v>
      </c>
      <c r="G27" s="1">
        <v>42036</v>
      </c>
      <c r="H27" s="1">
        <v>26362</v>
      </c>
      <c r="I27" t="s">
        <v>24</v>
      </c>
      <c r="J27">
        <v>21390</v>
      </c>
      <c r="K27">
        <v>0.76</v>
      </c>
      <c r="L27">
        <v>0.89</v>
      </c>
      <c r="M27">
        <v>54</v>
      </c>
      <c r="N27">
        <v>11</v>
      </c>
      <c r="O27">
        <v>0.82499999999999996</v>
      </c>
      <c r="P27">
        <v>0.13</v>
      </c>
      <c r="Q27" t="s">
        <v>119</v>
      </c>
      <c r="R27" t="s">
        <v>115</v>
      </c>
      <c r="S27" t="s">
        <v>122</v>
      </c>
      <c r="T27" t="s">
        <v>123</v>
      </c>
      <c r="U27" t="s">
        <v>117</v>
      </c>
    </row>
    <row r="28" spans="1:21" x14ac:dyDescent="0.3">
      <c r="A28">
        <v>78</v>
      </c>
      <c r="B28">
        <v>28166</v>
      </c>
      <c r="C28" t="s">
        <v>45</v>
      </c>
      <c r="D28" t="s">
        <v>22</v>
      </c>
      <c r="E28" t="s">
        <v>18</v>
      </c>
      <c r="F28" t="s">
        <v>51</v>
      </c>
      <c r="G28" s="1">
        <v>42476</v>
      </c>
      <c r="H28" s="1">
        <v>30536</v>
      </c>
      <c r="I28" t="s">
        <v>24</v>
      </c>
      <c r="J28">
        <v>13943</v>
      </c>
      <c r="K28">
        <v>0.78</v>
      </c>
      <c r="L28">
        <v>0.78</v>
      </c>
      <c r="M28">
        <v>42</v>
      </c>
      <c r="N28">
        <v>10</v>
      </c>
      <c r="O28">
        <v>0.78</v>
      </c>
      <c r="P28">
        <v>0</v>
      </c>
      <c r="Q28" t="s">
        <v>114</v>
      </c>
      <c r="R28" t="s">
        <v>120</v>
      </c>
      <c r="S28" t="s">
        <v>122</v>
      </c>
      <c r="T28" t="s">
        <v>123</v>
      </c>
      <c r="U28" t="s">
        <v>118</v>
      </c>
    </row>
    <row r="29" spans="1:21" x14ac:dyDescent="0.3">
      <c r="A29">
        <v>79</v>
      </c>
      <c r="B29">
        <v>27004</v>
      </c>
      <c r="C29" t="s">
        <v>46</v>
      </c>
      <c r="D29" t="s">
        <v>22</v>
      </c>
      <c r="E29" t="s">
        <v>18</v>
      </c>
      <c r="F29" t="s">
        <v>51</v>
      </c>
      <c r="G29" s="1">
        <v>35217</v>
      </c>
      <c r="H29" s="1">
        <v>28157</v>
      </c>
      <c r="I29" t="s">
        <v>24</v>
      </c>
      <c r="J29">
        <v>9011</v>
      </c>
      <c r="K29">
        <v>0.79</v>
      </c>
      <c r="L29">
        <v>0.46</v>
      </c>
      <c r="M29">
        <v>49</v>
      </c>
      <c r="N29">
        <v>30</v>
      </c>
      <c r="O29">
        <v>0.625</v>
      </c>
      <c r="P29">
        <v>-0.33</v>
      </c>
      <c r="Q29" t="s">
        <v>114</v>
      </c>
      <c r="R29" t="s">
        <v>121</v>
      </c>
      <c r="S29" t="s">
        <v>116</v>
      </c>
      <c r="T29" t="s">
        <v>117</v>
      </c>
      <c r="U29" t="s">
        <v>118</v>
      </c>
    </row>
    <row r="30" spans="1:21" x14ac:dyDescent="0.3">
      <c r="A30">
        <v>80</v>
      </c>
      <c r="B30">
        <v>27649</v>
      </c>
      <c r="C30" t="s">
        <v>21</v>
      </c>
      <c r="D30" t="s">
        <v>22</v>
      </c>
      <c r="E30" t="s">
        <v>18</v>
      </c>
      <c r="F30" t="s">
        <v>51</v>
      </c>
      <c r="G30" s="1">
        <v>35389</v>
      </c>
      <c r="H30" s="1">
        <v>28970</v>
      </c>
      <c r="I30" t="s">
        <v>24</v>
      </c>
      <c r="J30">
        <v>5390</v>
      </c>
      <c r="K30">
        <v>0.81</v>
      </c>
      <c r="L30">
        <v>0.4</v>
      </c>
      <c r="M30">
        <v>47</v>
      </c>
      <c r="N30">
        <v>29</v>
      </c>
      <c r="O30">
        <v>0.60499999999999998</v>
      </c>
      <c r="P30">
        <v>-0.41000000000000003</v>
      </c>
      <c r="Q30" t="s">
        <v>114</v>
      </c>
      <c r="R30" t="s">
        <v>121</v>
      </c>
      <c r="S30" t="s">
        <v>116</v>
      </c>
      <c r="T30" t="s">
        <v>117</v>
      </c>
      <c r="U30" t="s">
        <v>118</v>
      </c>
    </row>
    <row r="31" spans="1:21" x14ac:dyDescent="0.3">
      <c r="A31">
        <v>81</v>
      </c>
      <c r="B31">
        <v>26998</v>
      </c>
      <c r="C31" t="s">
        <v>25</v>
      </c>
      <c r="D31" t="s">
        <v>22</v>
      </c>
      <c r="E31" t="s">
        <v>18</v>
      </c>
      <c r="F31" t="s">
        <v>51</v>
      </c>
      <c r="G31" s="1">
        <v>35966</v>
      </c>
      <c r="H31" s="1">
        <v>27774</v>
      </c>
      <c r="I31" t="s">
        <v>24</v>
      </c>
      <c r="J31">
        <v>19015</v>
      </c>
      <c r="K31">
        <v>0.84</v>
      </c>
      <c r="L31">
        <v>0.65</v>
      </c>
      <c r="M31">
        <v>50</v>
      </c>
      <c r="N31">
        <v>27</v>
      </c>
      <c r="O31">
        <v>0.745</v>
      </c>
      <c r="P31">
        <v>-0.18999999999999995</v>
      </c>
      <c r="Q31" t="s">
        <v>114</v>
      </c>
      <c r="R31" t="s">
        <v>120</v>
      </c>
      <c r="S31" t="s">
        <v>116</v>
      </c>
      <c r="T31" t="s">
        <v>117</v>
      </c>
      <c r="U31" t="s">
        <v>117</v>
      </c>
    </row>
    <row r="32" spans="1:21" x14ac:dyDescent="0.3">
      <c r="A32">
        <v>82</v>
      </c>
      <c r="B32">
        <v>31455</v>
      </c>
      <c r="C32" t="s">
        <v>47</v>
      </c>
      <c r="D32" t="s">
        <v>22</v>
      </c>
      <c r="E32" t="s">
        <v>18</v>
      </c>
      <c r="F32" t="s">
        <v>30</v>
      </c>
      <c r="G32" s="1">
        <v>36904</v>
      </c>
      <c r="H32" s="1">
        <v>29124</v>
      </c>
      <c r="I32" t="s">
        <v>24</v>
      </c>
      <c r="J32">
        <v>8138</v>
      </c>
      <c r="K32">
        <v>0.82</v>
      </c>
      <c r="L32">
        <v>0.83</v>
      </c>
      <c r="M32">
        <v>46</v>
      </c>
      <c r="N32">
        <v>25</v>
      </c>
      <c r="O32">
        <v>0.82499999999999996</v>
      </c>
      <c r="P32">
        <v>1.0000000000000009E-2</v>
      </c>
      <c r="Q32" t="s">
        <v>119</v>
      </c>
      <c r="R32" t="s">
        <v>121</v>
      </c>
      <c r="S32" t="s">
        <v>116</v>
      </c>
      <c r="T32" t="s">
        <v>117</v>
      </c>
      <c r="U32" t="s">
        <v>118</v>
      </c>
    </row>
    <row r="33" spans="1:21" x14ac:dyDescent="0.3">
      <c r="A33">
        <v>89</v>
      </c>
      <c r="B33">
        <v>26425</v>
      </c>
      <c r="C33" t="s">
        <v>29</v>
      </c>
      <c r="D33" t="s">
        <v>22</v>
      </c>
      <c r="E33" t="s">
        <v>18</v>
      </c>
      <c r="F33" t="s">
        <v>30</v>
      </c>
      <c r="G33" s="1">
        <v>41191</v>
      </c>
      <c r="H33" s="1">
        <v>26439</v>
      </c>
      <c r="I33" t="s">
        <v>24</v>
      </c>
      <c r="J33">
        <v>5061</v>
      </c>
      <c r="K33">
        <v>0.75</v>
      </c>
      <c r="L33">
        <v>0.67</v>
      </c>
      <c r="M33">
        <v>54</v>
      </c>
      <c r="N33">
        <v>13</v>
      </c>
      <c r="O33">
        <v>0.71</v>
      </c>
      <c r="P33">
        <v>-7.999999999999996E-2</v>
      </c>
      <c r="Q33" t="s">
        <v>114</v>
      </c>
      <c r="R33" t="s">
        <v>121</v>
      </c>
      <c r="S33" t="s">
        <v>122</v>
      </c>
      <c r="T33" t="s">
        <v>123</v>
      </c>
      <c r="U33" t="s">
        <v>117</v>
      </c>
    </row>
    <row r="34" spans="1:21" x14ac:dyDescent="0.3">
      <c r="A34">
        <v>90</v>
      </c>
      <c r="B34">
        <v>26421</v>
      </c>
      <c r="C34" t="s">
        <v>31</v>
      </c>
      <c r="D34" t="s">
        <v>22</v>
      </c>
      <c r="E34" t="s">
        <v>18</v>
      </c>
      <c r="F34" t="s">
        <v>55</v>
      </c>
      <c r="G34" s="1">
        <v>41378</v>
      </c>
      <c r="H34" s="1">
        <v>26992</v>
      </c>
      <c r="I34" t="s">
        <v>24</v>
      </c>
      <c r="J34">
        <v>8005</v>
      </c>
      <c r="K34">
        <v>0.85</v>
      </c>
      <c r="L34">
        <v>0.75</v>
      </c>
      <c r="M34">
        <v>52</v>
      </c>
      <c r="N34">
        <v>13</v>
      </c>
      <c r="O34">
        <v>0.8</v>
      </c>
      <c r="P34">
        <v>-9.9999999999999978E-2</v>
      </c>
      <c r="Q34" t="s">
        <v>119</v>
      </c>
      <c r="R34" t="s">
        <v>121</v>
      </c>
      <c r="S34" t="s">
        <v>122</v>
      </c>
      <c r="T34" t="s">
        <v>123</v>
      </c>
      <c r="U34" t="s">
        <v>117</v>
      </c>
    </row>
    <row r="35" spans="1:21" x14ac:dyDescent="0.3">
      <c r="A35">
        <v>91</v>
      </c>
      <c r="B35">
        <v>26419</v>
      </c>
      <c r="C35" t="s">
        <v>32</v>
      </c>
      <c r="D35" t="s">
        <v>22</v>
      </c>
      <c r="E35" t="s">
        <v>18</v>
      </c>
      <c r="F35" t="s">
        <v>51</v>
      </c>
      <c r="G35" s="1">
        <v>41594</v>
      </c>
      <c r="H35" s="1">
        <v>25655</v>
      </c>
      <c r="I35" t="s">
        <v>24</v>
      </c>
      <c r="J35">
        <v>7002</v>
      </c>
      <c r="K35">
        <v>0.87</v>
      </c>
      <c r="L35">
        <v>0.6</v>
      </c>
      <c r="M35">
        <v>56</v>
      </c>
      <c r="N35">
        <v>12</v>
      </c>
      <c r="O35">
        <v>0.73499999999999999</v>
      </c>
      <c r="P35">
        <v>-0.27</v>
      </c>
      <c r="Q35" t="s">
        <v>114</v>
      </c>
      <c r="R35" t="s">
        <v>121</v>
      </c>
      <c r="S35" t="s">
        <v>122</v>
      </c>
      <c r="T35" t="s">
        <v>123</v>
      </c>
      <c r="U35" t="s">
        <v>117</v>
      </c>
    </row>
    <row r="36" spans="1:21" x14ac:dyDescent="0.3">
      <c r="A36">
        <v>92</v>
      </c>
      <c r="B36">
        <v>28927</v>
      </c>
      <c r="C36" t="s">
        <v>33</v>
      </c>
      <c r="D36" t="s">
        <v>22</v>
      </c>
      <c r="E36" t="s">
        <v>18</v>
      </c>
      <c r="F36" t="s">
        <v>55</v>
      </c>
      <c r="G36" s="1">
        <v>41730</v>
      </c>
      <c r="H36" s="1">
        <v>25254</v>
      </c>
      <c r="I36" t="s">
        <v>24</v>
      </c>
      <c r="J36">
        <v>23284</v>
      </c>
      <c r="K36">
        <v>0.75</v>
      </c>
      <c r="L36">
        <v>0.84</v>
      </c>
      <c r="M36">
        <v>57</v>
      </c>
      <c r="N36">
        <v>12</v>
      </c>
      <c r="O36">
        <v>0.79499999999999993</v>
      </c>
      <c r="P36">
        <v>8.9999999999999969E-2</v>
      </c>
      <c r="Q36" t="s">
        <v>114</v>
      </c>
      <c r="R36" t="s">
        <v>115</v>
      </c>
      <c r="S36" t="s">
        <v>122</v>
      </c>
      <c r="T36" t="s">
        <v>123</v>
      </c>
      <c r="U36" t="s">
        <v>117</v>
      </c>
    </row>
    <row r="37" spans="1:21" x14ac:dyDescent="0.3">
      <c r="A37">
        <v>93</v>
      </c>
      <c r="B37">
        <v>26748</v>
      </c>
      <c r="C37" t="s">
        <v>34</v>
      </c>
      <c r="D37" t="s">
        <v>22</v>
      </c>
      <c r="E37" t="s">
        <v>18</v>
      </c>
      <c r="F37" t="s">
        <v>55</v>
      </c>
      <c r="G37" s="1">
        <v>41771</v>
      </c>
      <c r="H37" s="1">
        <v>29985</v>
      </c>
      <c r="I37" t="s">
        <v>24</v>
      </c>
      <c r="J37">
        <v>20019</v>
      </c>
      <c r="K37">
        <v>0.89</v>
      </c>
      <c r="L37">
        <v>0.78</v>
      </c>
      <c r="M37">
        <v>44</v>
      </c>
      <c r="N37">
        <v>12</v>
      </c>
      <c r="O37">
        <v>0.83499999999999996</v>
      </c>
      <c r="P37">
        <v>-0.10999999999999999</v>
      </c>
      <c r="Q37" t="s">
        <v>119</v>
      </c>
      <c r="R37" t="s">
        <v>115</v>
      </c>
      <c r="S37" t="s">
        <v>122</v>
      </c>
      <c r="T37" t="s">
        <v>123</v>
      </c>
      <c r="U37" t="s">
        <v>118</v>
      </c>
    </row>
    <row r="38" spans="1:21" x14ac:dyDescent="0.3">
      <c r="A38">
        <v>94</v>
      </c>
      <c r="B38">
        <v>27494</v>
      </c>
      <c r="C38" t="s">
        <v>44</v>
      </c>
      <c r="D38" t="s">
        <v>22</v>
      </c>
      <c r="E38" t="s">
        <v>18</v>
      </c>
      <c r="F38" t="s">
        <v>51</v>
      </c>
      <c r="G38" s="1">
        <v>41771</v>
      </c>
      <c r="H38" s="1">
        <v>28792</v>
      </c>
      <c r="I38" t="s">
        <v>24</v>
      </c>
      <c r="J38">
        <v>11645</v>
      </c>
      <c r="K38">
        <v>0.8</v>
      </c>
      <c r="L38">
        <v>0.62</v>
      </c>
      <c r="M38">
        <v>47</v>
      </c>
      <c r="N38">
        <v>12</v>
      </c>
      <c r="O38">
        <v>0.71</v>
      </c>
      <c r="P38">
        <v>-0.18000000000000005</v>
      </c>
      <c r="Q38" t="s">
        <v>114</v>
      </c>
      <c r="R38" t="s">
        <v>120</v>
      </c>
      <c r="S38" t="s">
        <v>122</v>
      </c>
      <c r="T38" t="s">
        <v>123</v>
      </c>
      <c r="U38" t="s">
        <v>118</v>
      </c>
    </row>
    <row r="39" spans="1:21" x14ac:dyDescent="0.3">
      <c r="A39">
        <v>2</v>
      </c>
      <c r="B39">
        <v>28127</v>
      </c>
      <c r="C39" t="s">
        <v>48</v>
      </c>
      <c r="D39" t="s">
        <v>49</v>
      </c>
      <c r="E39" t="s">
        <v>50</v>
      </c>
      <c r="F39" t="s">
        <v>51</v>
      </c>
      <c r="G39" s="1">
        <v>40919</v>
      </c>
      <c r="H39" s="1">
        <v>23989</v>
      </c>
      <c r="I39" t="s">
        <v>52</v>
      </c>
      <c r="J39">
        <v>21575</v>
      </c>
      <c r="K39">
        <v>0.86</v>
      </c>
      <c r="L39">
        <v>0.87</v>
      </c>
      <c r="M39">
        <v>60</v>
      </c>
      <c r="N39">
        <v>14</v>
      </c>
      <c r="O39">
        <v>0.86499999999999999</v>
      </c>
      <c r="P39">
        <v>1.0000000000000009E-2</v>
      </c>
      <c r="Q39" t="s">
        <v>119</v>
      </c>
      <c r="R39" t="s">
        <v>115</v>
      </c>
      <c r="S39" t="s">
        <v>122</v>
      </c>
      <c r="T39" t="s">
        <v>123</v>
      </c>
      <c r="U39" t="s">
        <v>117</v>
      </c>
    </row>
    <row r="40" spans="1:21" x14ac:dyDescent="0.3">
      <c r="A40">
        <v>14</v>
      </c>
      <c r="B40">
        <v>26422</v>
      </c>
      <c r="C40" t="s">
        <v>53</v>
      </c>
      <c r="D40" t="s">
        <v>54</v>
      </c>
      <c r="E40" t="s">
        <v>50</v>
      </c>
      <c r="F40" t="s">
        <v>55</v>
      </c>
      <c r="G40" s="1">
        <v>38398</v>
      </c>
      <c r="H40" s="1">
        <v>23333</v>
      </c>
      <c r="I40" t="s">
        <v>20</v>
      </c>
      <c r="J40">
        <v>19023</v>
      </c>
      <c r="K40">
        <v>0.78</v>
      </c>
      <c r="L40">
        <v>0.89</v>
      </c>
      <c r="M40">
        <v>62</v>
      </c>
      <c r="N40">
        <v>21</v>
      </c>
      <c r="O40">
        <v>0.83499999999999996</v>
      </c>
      <c r="P40">
        <v>0.10999999999999999</v>
      </c>
      <c r="Q40" t="s">
        <v>119</v>
      </c>
      <c r="R40" t="s">
        <v>120</v>
      </c>
      <c r="S40" t="s">
        <v>116</v>
      </c>
      <c r="T40" t="s">
        <v>117</v>
      </c>
      <c r="U40" t="s">
        <v>117</v>
      </c>
    </row>
    <row r="41" spans="1:21" x14ac:dyDescent="0.3">
      <c r="A41">
        <v>15</v>
      </c>
      <c r="B41">
        <v>26414</v>
      </c>
      <c r="C41" t="s">
        <v>43</v>
      </c>
      <c r="D41" t="s">
        <v>56</v>
      </c>
      <c r="E41" t="s">
        <v>50</v>
      </c>
      <c r="F41" t="s">
        <v>51</v>
      </c>
      <c r="G41" s="1">
        <v>40292</v>
      </c>
      <c r="H41" s="1">
        <v>26435</v>
      </c>
      <c r="I41" t="s">
        <v>20</v>
      </c>
      <c r="J41">
        <v>12801</v>
      </c>
      <c r="K41">
        <v>0.75</v>
      </c>
      <c r="L41">
        <v>0.76</v>
      </c>
      <c r="M41">
        <v>54</v>
      </c>
      <c r="N41">
        <v>16</v>
      </c>
      <c r="O41">
        <v>0.755</v>
      </c>
      <c r="P41">
        <v>1.0000000000000009E-2</v>
      </c>
      <c r="Q41" t="s">
        <v>114</v>
      </c>
      <c r="R41" t="s">
        <v>120</v>
      </c>
      <c r="S41" t="s">
        <v>116</v>
      </c>
      <c r="T41" t="s">
        <v>117</v>
      </c>
      <c r="U41" t="s">
        <v>117</v>
      </c>
    </row>
    <row r="42" spans="1:21" x14ac:dyDescent="0.3">
      <c r="A42">
        <v>24</v>
      </c>
      <c r="B42">
        <v>30352</v>
      </c>
      <c r="C42" t="s">
        <v>57</v>
      </c>
      <c r="D42" t="s">
        <v>56</v>
      </c>
      <c r="E42" t="s">
        <v>50</v>
      </c>
      <c r="F42" t="s">
        <v>55</v>
      </c>
      <c r="G42" s="1">
        <v>42483</v>
      </c>
      <c r="H42" s="1">
        <v>25924</v>
      </c>
      <c r="I42" t="s">
        <v>20</v>
      </c>
      <c r="J42">
        <v>16742</v>
      </c>
      <c r="K42">
        <v>0.87</v>
      </c>
      <c r="L42">
        <v>0.87</v>
      </c>
      <c r="M42">
        <v>55</v>
      </c>
      <c r="N42">
        <v>10</v>
      </c>
      <c r="O42">
        <v>0.87</v>
      </c>
      <c r="P42">
        <v>0</v>
      </c>
      <c r="Q42" t="s">
        <v>119</v>
      </c>
      <c r="R42" t="s">
        <v>120</v>
      </c>
      <c r="S42" t="s">
        <v>122</v>
      </c>
      <c r="T42" t="s">
        <v>123</v>
      </c>
      <c r="U42" t="s">
        <v>117</v>
      </c>
    </row>
    <row r="43" spans="1:21" x14ac:dyDescent="0.3">
      <c r="A43">
        <v>25</v>
      </c>
      <c r="B43">
        <v>26726</v>
      </c>
      <c r="C43" t="s">
        <v>44</v>
      </c>
      <c r="D43" t="s">
        <v>56</v>
      </c>
      <c r="E43" t="s">
        <v>50</v>
      </c>
      <c r="F43" t="s">
        <v>55</v>
      </c>
      <c r="G43" s="1">
        <v>42490</v>
      </c>
      <c r="H43" s="1">
        <v>30587</v>
      </c>
      <c r="I43" t="s">
        <v>20</v>
      </c>
      <c r="J43">
        <v>15635</v>
      </c>
      <c r="K43">
        <v>0.84</v>
      </c>
      <c r="L43">
        <v>0.84</v>
      </c>
      <c r="M43">
        <v>42</v>
      </c>
      <c r="N43">
        <v>10</v>
      </c>
      <c r="O43">
        <v>0.84</v>
      </c>
      <c r="P43">
        <v>0</v>
      </c>
      <c r="Q43" t="s">
        <v>119</v>
      </c>
      <c r="R43" t="s">
        <v>120</v>
      </c>
      <c r="S43" t="s">
        <v>122</v>
      </c>
      <c r="T43" t="s">
        <v>123</v>
      </c>
      <c r="U43" t="s">
        <v>118</v>
      </c>
    </row>
    <row r="44" spans="1:21" x14ac:dyDescent="0.3">
      <c r="A44">
        <v>35</v>
      </c>
      <c r="B44">
        <v>26431</v>
      </c>
      <c r="C44" t="s">
        <v>58</v>
      </c>
      <c r="D44" t="s">
        <v>54</v>
      </c>
      <c r="E44" t="s">
        <v>50</v>
      </c>
      <c r="F44" t="s">
        <v>51</v>
      </c>
      <c r="G44" s="1">
        <v>42833</v>
      </c>
      <c r="H44" s="1">
        <v>30733</v>
      </c>
      <c r="I44" t="s">
        <v>20</v>
      </c>
      <c r="J44">
        <v>20897</v>
      </c>
      <c r="K44">
        <v>0.83</v>
      </c>
      <c r="L44">
        <v>0.67</v>
      </c>
      <c r="M44">
        <v>42</v>
      </c>
      <c r="N44">
        <v>9</v>
      </c>
      <c r="O44">
        <v>0.75</v>
      </c>
      <c r="P44">
        <v>-0.15999999999999992</v>
      </c>
      <c r="Q44" t="s">
        <v>114</v>
      </c>
      <c r="R44" t="s">
        <v>115</v>
      </c>
      <c r="S44" t="s">
        <v>125</v>
      </c>
      <c r="T44" t="s">
        <v>126</v>
      </c>
      <c r="U44" t="s">
        <v>118</v>
      </c>
    </row>
    <row r="45" spans="1:21" x14ac:dyDescent="0.3">
      <c r="A45">
        <v>36</v>
      </c>
      <c r="B45">
        <v>26396</v>
      </c>
      <c r="C45" t="s">
        <v>59</v>
      </c>
      <c r="D45" t="s">
        <v>56</v>
      </c>
      <c r="E45" t="s">
        <v>50</v>
      </c>
      <c r="F45" t="s">
        <v>30</v>
      </c>
      <c r="G45" s="1">
        <v>41527</v>
      </c>
      <c r="H45" s="1">
        <v>27607</v>
      </c>
      <c r="I45" t="s">
        <v>20</v>
      </c>
      <c r="J45">
        <v>15730</v>
      </c>
      <c r="K45">
        <v>0.86</v>
      </c>
      <c r="L45">
        <v>0.53</v>
      </c>
      <c r="M45">
        <v>50</v>
      </c>
      <c r="N45">
        <v>12</v>
      </c>
      <c r="O45">
        <v>0.69500000000000006</v>
      </c>
      <c r="P45">
        <v>-0.32999999999999996</v>
      </c>
      <c r="Q45" t="s">
        <v>114</v>
      </c>
      <c r="R45" t="s">
        <v>120</v>
      </c>
      <c r="S45" t="s">
        <v>122</v>
      </c>
      <c r="T45" t="s">
        <v>123</v>
      </c>
      <c r="U45" t="s">
        <v>117</v>
      </c>
    </row>
    <row r="46" spans="1:21" x14ac:dyDescent="0.3">
      <c r="A46">
        <v>44</v>
      </c>
      <c r="B46">
        <v>26445</v>
      </c>
      <c r="C46" t="s">
        <v>45</v>
      </c>
      <c r="D46" t="s">
        <v>56</v>
      </c>
      <c r="E46" t="s">
        <v>50</v>
      </c>
      <c r="F46" t="s">
        <v>51</v>
      </c>
      <c r="G46" s="1">
        <v>39671</v>
      </c>
      <c r="H46" s="1">
        <v>25496</v>
      </c>
      <c r="I46" t="s">
        <v>20</v>
      </c>
      <c r="J46">
        <v>16861</v>
      </c>
      <c r="K46">
        <v>0.87</v>
      </c>
      <c r="L46">
        <v>0.52</v>
      </c>
      <c r="M46">
        <v>56</v>
      </c>
      <c r="N46">
        <v>17</v>
      </c>
      <c r="O46">
        <v>0.69500000000000006</v>
      </c>
      <c r="P46">
        <v>-0.35</v>
      </c>
      <c r="Q46" t="s">
        <v>114</v>
      </c>
      <c r="R46" t="s">
        <v>120</v>
      </c>
      <c r="S46" t="s">
        <v>116</v>
      </c>
      <c r="T46" t="s">
        <v>117</v>
      </c>
      <c r="U46" t="s">
        <v>117</v>
      </c>
    </row>
    <row r="47" spans="1:21" x14ac:dyDescent="0.3">
      <c r="A47">
        <v>45</v>
      </c>
      <c r="B47">
        <v>26400</v>
      </c>
      <c r="C47" t="s">
        <v>46</v>
      </c>
      <c r="D47" t="s">
        <v>56</v>
      </c>
      <c r="E47" t="s">
        <v>50</v>
      </c>
      <c r="F47" t="s">
        <v>55</v>
      </c>
      <c r="G47" s="1">
        <v>42084</v>
      </c>
      <c r="H47" s="1">
        <v>25856</v>
      </c>
      <c r="I47" t="s">
        <v>20</v>
      </c>
      <c r="J47">
        <v>5067</v>
      </c>
      <c r="K47">
        <v>0.86</v>
      </c>
      <c r="L47">
        <v>0.94</v>
      </c>
      <c r="M47">
        <v>55</v>
      </c>
      <c r="N47">
        <v>11</v>
      </c>
      <c r="O47">
        <v>0.89999999999999991</v>
      </c>
      <c r="P47">
        <v>7.999999999999996E-2</v>
      </c>
      <c r="Q47" t="s">
        <v>119</v>
      </c>
      <c r="R47" t="s">
        <v>121</v>
      </c>
      <c r="S47" t="s">
        <v>122</v>
      </c>
      <c r="T47" t="s">
        <v>123</v>
      </c>
      <c r="U47" t="s">
        <v>117</v>
      </c>
    </row>
    <row r="48" spans="1:21" x14ac:dyDescent="0.3">
      <c r="A48">
        <v>53</v>
      </c>
      <c r="B48">
        <v>26443</v>
      </c>
      <c r="C48" t="s">
        <v>27</v>
      </c>
      <c r="D48" t="s">
        <v>56</v>
      </c>
      <c r="E48" t="s">
        <v>50</v>
      </c>
      <c r="F48" t="s">
        <v>51</v>
      </c>
      <c r="G48" s="1">
        <v>39641</v>
      </c>
      <c r="H48" s="1">
        <v>25608</v>
      </c>
      <c r="I48" t="s">
        <v>20</v>
      </c>
      <c r="J48">
        <v>12903</v>
      </c>
      <c r="K48">
        <v>0.77</v>
      </c>
      <c r="L48">
        <v>0.75</v>
      </c>
      <c r="M48">
        <v>56</v>
      </c>
      <c r="N48">
        <v>17</v>
      </c>
      <c r="O48">
        <v>0.76</v>
      </c>
      <c r="P48">
        <v>-2.0000000000000018E-2</v>
      </c>
      <c r="Q48" t="s">
        <v>114</v>
      </c>
      <c r="R48" t="s">
        <v>120</v>
      </c>
      <c r="S48" t="s">
        <v>116</v>
      </c>
      <c r="T48" t="s">
        <v>117</v>
      </c>
      <c r="U48" t="s">
        <v>117</v>
      </c>
    </row>
    <row r="49" spans="1:21" x14ac:dyDescent="0.3">
      <c r="A49">
        <v>63</v>
      </c>
      <c r="B49">
        <v>26610</v>
      </c>
      <c r="C49" t="s">
        <v>60</v>
      </c>
      <c r="D49" t="s">
        <v>54</v>
      </c>
      <c r="E49" t="s">
        <v>50</v>
      </c>
      <c r="F49" t="s">
        <v>55</v>
      </c>
      <c r="G49" s="1">
        <v>43121</v>
      </c>
      <c r="H49" s="1">
        <v>27200</v>
      </c>
      <c r="I49" t="s">
        <v>20</v>
      </c>
      <c r="J49">
        <v>4388</v>
      </c>
      <c r="K49">
        <v>0.86</v>
      </c>
      <c r="L49">
        <v>0.47</v>
      </c>
      <c r="M49">
        <v>52</v>
      </c>
      <c r="N49">
        <v>8</v>
      </c>
      <c r="O49">
        <v>0.66500000000000004</v>
      </c>
      <c r="P49">
        <v>-0.39</v>
      </c>
      <c r="Q49" t="s">
        <v>114</v>
      </c>
      <c r="R49" t="s">
        <v>124</v>
      </c>
      <c r="S49" t="s">
        <v>125</v>
      </c>
      <c r="T49" t="s">
        <v>126</v>
      </c>
      <c r="U49" t="s">
        <v>117</v>
      </c>
    </row>
    <row r="50" spans="1:21" x14ac:dyDescent="0.3">
      <c r="A50">
        <v>64</v>
      </c>
      <c r="B50">
        <v>26404</v>
      </c>
      <c r="C50" t="s">
        <v>61</v>
      </c>
      <c r="D50" t="s">
        <v>56</v>
      </c>
      <c r="E50" t="s">
        <v>50</v>
      </c>
      <c r="F50" t="s">
        <v>55</v>
      </c>
      <c r="G50" s="1">
        <v>43463</v>
      </c>
      <c r="H50" s="1">
        <v>27167</v>
      </c>
      <c r="I50" t="s">
        <v>20</v>
      </c>
      <c r="J50">
        <v>15454</v>
      </c>
      <c r="K50">
        <v>0.87</v>
      </c>
      <c r="L50">
        <v>0.94</v>
      </c>
      <c r="M50">
        <v>52</v>
      </c>
      <c r="N50">
        <v>7</v>
      </c>
      <c r="O50">
        <v>0.90500000000000003</v>
      </c>
      <c r="P50">
        <v>6.9999999999999951E-2</v>
      </c>
      <c r="Q50" t="s">
        <v>119</v>
      </c>
      <c r="R50" t="s">
        <v>120</v>
      </c>
      <c r="S50" t="s">
        <v>125</v>
      </c>
      <c r="T50" t="s">
        <v>126</v>
      </c>
      <c r="U50" t="s">
        <v>117</v>
      </c>
    </row>
    <row r="51" spans="1:21" x14ac:dyDescent="0.3">
      <c r="A51">
        <v>65</v>
      </c>
      <c r="B51">
        <v>26402</v>
      </c>
      <c r="C51" t="s">
        <v>62</v>
      </c>
      <c r="D51" t="s">
        <v>56</v>
      </c>
      <c r="E51" t="s">
        <v>50</v>
      </c>
      <c r="F51" t="s">
        <v>51</v>
      </c>
      <c r="G51" s="1">
        <v>37676</v>
      </c>
      <c r="H51" s="1">
        <v>25124</v>
      </c>
      <c r="I51" t="s">
        <v>20</v>
      </c>
      <c r="J51">
        <v>24472</v>
      </c>
      <c r="K51">
        <v>0.84</v>
      </c>
      <c r="L51">
        <v>0.52</v>
      </c>
      <c r="M51">
        <v>57</v>
      </c>
      <c r="N51">
        <v>23</v>
      </c>
      <c r="O51">
        <v>0.67999999999999994</v>
      </c>
      <c r="P51">
        <v>-0.31999999999999995</v>
      </c>
      <c r="Q51" t="s">
        <v>114</v>
      </c>
      <c r="R51" t="s">
        <v>115</v>
      </c>
      <c r="S51" t="s">
        <v>116</v>
      </c>
      <c r="T51" t="s">
        <v>117</v>
      </c>
      <c r="U51" t="s">
        <v>117</v>
      </c>
    </row>
    <row r="52" spans="1:21" x14ac:dyDescent="0.3">
      <c r="A52">
        <v>66</v>
      </c>
      <c r="B52">
        <v>26427</v>
      </c>
      <c r="C52" t="s">
        <v>35</v>
      </c>
      <c r="D52" t="s">
        <v>56</v>
      </c>
      <c r="E52" t="s">
        <v>50</v>
      </c>
      <c r="F52" t="s">
        <v>51</v>
      </c>
      <c r="G52" s="1">
        <v>37817</v>
      </c>
      <c r="H52" s="1">
        <v>23708</v>
      </c>
      <c r="I52" t="s">
        <v>20</v>
      </c>
      <c r="J52">
        <v>15992</v>
      </c>
      <c r="K52">
        <v>0.82</v>
      </c>
      <c r="L52">
        <v>0.91</v>
      </c>
      <c r="M52">
        <v>61</v>
      </c>
      <c r="N52">
        <v>22</v>
      </c>
      <c r="O52">
        <v>0.86499999999999999</v>
      </c>
      <c r="P52">
        <v>9.000000000000008E-2</v>
      </c>
      <c r="Q52" t="s">
        <v>119</v>
      </c>
      <c r="R52" t="s">
        <v>120</v>
      </c>
      <c r="S52" t="s">
        <v>116</v>
      </c>
      <c r="T52" t="s">
        <v>117</v>
      </c>
      <c r="U52" t="s">
        <v>117</v>
      </c>
    </row>
    <row r="53" spans="1:21" x14ac:dyDescent="0.3">
      <c r="A53">
        <v>76</v>
      </c>
      <c r="B53">
        <v>26999</v>
      </c>
      <c r="C53" t="s">
        <v>16</v>
      </c>
      <c r="D53" t="s">
        <v>54</v>
      </c>
      <c r="E53" t="s">
        <v>50</v>
      </c>
      <c r="F53" t="s">
        <v>51</v>
      </c>
      <c r="G53" s="1">
        <v>42515</v>
      </c>
      <c r="H53" s="1">
        <v>24332</v>
      </c>
      <c r="I53" t="s">
        <v>20</v>
      </c>
      <c r="J53">
        <v>21183</v>
      </c>
      <c r="K53">
        <v>0.85</v>
      </c>
      <c r="L53">
        <v>0.66</v>
      </c>
      <c r="M53">
        <v>59</v>
      </c>
      <c r="N53">
        <v>10</v>
      </c>
      <c r="O53">
        <v>0.755</v>
      </c>
      <c r="P53">
        <v>-0.18999999999999995</v>
      </c>
      <c r="Q53" t="s">
        <v>114</v>
      </c>
      <c r="R53" t="s">
        <v>115</v>
      </c>
      <c r="S53" t="s">
        <v>122</v>
      </c>
      <c r="T53" t="s">
        <v>123</v>
      </c>
      <c r="U53" t="s">
        <v>117</v>
      </c>
    </row>
    <row r="54" spans="1:21" x14ac:dyDescent="0.3">
      <c r="A54">
        <v>77</v>
      </c>
      <c r="B54">
        <v>28929</v>
      </c>
      <c r="C54" t="s">
        <v>42</v>
      </c>
      <c r="D54" t="s">
        <v>56</v>
      </c>
      <c r="E54" t="s">
        <v>50</v>
      </c>
      <c r="F54" t="s">
        <v>51</v>
      </c>
      <c r="G54" s="1">
        <v>41783</v>
      </c>
      <c r="H54" s="1">
        <v>25532</v>
      </c>
      <c r="I54" t="s">
        <v>20</v>
      </c>
      <c r="J54">
        <v>22459</v>
      </c>
      <c r="K54">
        <v>0.86</v>
      </c>
      <c r="L54">
        <v>0.43</v>
      </c>
      <c r="M54">
        <v>56</v>
      </c>
      <c r="N54">
        <v>12</v>
      </c>
      <c r="O54">
        <v>0.64500000000000002</v>
      </c>
      <c r="P54">
        <v>-0.43</v>
      </c>
      <c r="Q54" t="s">
        <v>114</v>
      </c>
      <c r="R54" t="s">
        <v>115</v>
      </c>
      <c r="S54" t="s">
        <v>122</v>
      </c>
      <c r="T54" t="s">
        <v>123</v>
      </c>
      <c r="U54" t="s">
        <v>117</v>
      </c>
    </row>
    <row r="55" spans="1:21" x14ac:dyDescent="0.3">
      <c r="A55">
        <v>87</v>
      </c>
      <c r="B55">
        <v>26447</v>
      </c>
      <c r="C55" t="s">
        <v>27</v>
      </c>
      <c r="D55" t="s">
        <v>54</v>
      </c>
      <c r="E55" t="s">
        <v>50</v>
      </c>
      <c r="F55" t="s">
        <v>55</v>
      </c>
      <c r="G55" s="1">
        <v>39669</v>
      </c>
      <c r="H55" s="1">
        <v>29342</v>
      </c>
      <c r="I55" t="s">
        <v>20</v>
      </c>
      <c r="J55">
        <v>2227</v>
      </c>
      <c r="K55">
        <v>0.8</v>
      </c>
      <c r="L55">
        <v>0.59</v>
      </c>
      <c r="M55">
        <v>46</v>
      </c>
      <c r="N55">
        <v>17</v>
      </c>
      <c r="O55">
        <v>0.69500000000000006</v>
      </c>
      <c r="P55">
        <v>-0.21000000000000008</v>
      </c>
      <c r="Q55" t="s">
        <v>114</v>
      </c>
      <c r="R55" t="s">
        <v>124</v>
      </c>
      <c r="S55" t="s">
        <v>116</v>
      </c>
      <c r="T55" t="s">
        <v>117</v>
      </c>
      <c r="U55" t="s">
        <v>118</v>
      </c>
    </row>
    <row r="56" spans="1:21" x14ac:dyDescent="0.3">
      <c r="A56">
        <v>88</v>
      </c>
      <c r="B56">
        <v>28227</v>
      </c>
      <c r="C56" t="s">
        <v>28</v>
      </c>
      <c r="D56" t="s">
        <v>56</v>
      </c>
      <c r="E56" t="s">
        <v>50</v>
      </c>
      <c r="F56" t="s">
        <v>55</v>
      </c>
      <c r="G56" s="1">
        <v>39767</v>
      </c>
      <c r="H56" s="1">
        <v>26395</v>
      </c>
      <c r="I56" t="s">
        <v>20</v>
      </c>
      <c r="J56">
        <v>1673</v>
      </c>
      <c r="K56">
        <v>0.78</v>
      </c>
      <c r="L56">
        <v>0.78</v>
      </c>
      <c r="M56">
        <v>54</v>
      </c>
      <c r="N56">
        <v>17</v>
      </c>
      <c r="O56">
        <v>0.78</v>
      </c>
      <c r="P56">
        <v>0</v>
      </c>
      <c r="Q56" t="s">
        <v>114</v>
      </c>
      <c r="R56" t="s">
        <v>124</v>
      </c>
      <c r="S56" t="s">
        <v>116</v>
      </c>
      <c r="T56" t="s">
        <v>117</v>
      </c>
      <c r="U56" t="s">
        <v>117</v>
      </c>
    </row>
    <row r="57" spans="1:21" x14ac:dyDescent="0.3">
      <c r="A57">
        <v>3</v>
      </c>
      <c r="B57">
        <v>26446</v>
      </c>
      <c r="C57" t="s">
        <v>40</v>
      </c>
      <c r="D57" t="s">
        <v>63</v>
      </c>
      <c r="E57" t="s">
        <v>64</v>
      </c>
      <c r="F57" t="s">
        <v>30</v>
      </c>
      <c r="G57" s="1">
        <v>41498</v>
      </c>
      <c r="H57" s="1">
        <v>29990</v>
      </c>
      <c r="I57" t="s">
        <v>52</v>
      </c>
      <c r="J57">
        <v>25000</v>
      </c>
      <c r="K57">
        <v>0.8</v>
      </c>
      <c r="L57">
        <v>0.9</v>
      </c>
      <c r="M57">
        <v>44</v>
      </c>
      <c r="N57">
        <v>12</v>
      </c>
      <c r="O57">
        <v>0.85000000000000009</v>
      </c>
      <c r="P57">
        <v>9.9999999999999978E-2</v>
      </c>
      <c r="Q57" t="s">
        <v>119</v>
      </c>
      <c r="R57" t="s">
        <v>115</v>
      </c>
      <c r="S57" t="s">
        <v>122</v>
      </c>
      <c r="T57" t="s">
        <v>123</v>
      </c>
      <c r="U57" t="s">
        <v>118</v>
      </c>
    </row>
    <row r="58" spans="1:21" x14ac:dyDescent="0.3">
      <c r="A58">
        <v>9</v>
      </c>
      <c r="B58">
        <v>26412</v>
      </c>
      <c r="C58" t="s">
        <v>46</v>
      </c>
      <c r="D58" t="s">
        <v>65</v>
      </c>
      <c r="E58" t="s">
        <v>64</v>
      </c>
      <c r="F58" t="s">
        <v>51</v>
      </c>
      <c r="G58" s="1">
        <v>39767</v>
      </c>
      <c r="H58" s="1">
        <v>30733</v>
      </c>
      <c r="I58" t="s">
        <v>20</v>
      </c>
      <c r="J58">
        <v>11492</v>
      </c>
      <c r="K58">
        <v>0.81</v>
      </c>
      <c r="L58">
        <v>0.77</v>
      </c>
      <c r="M58">
        <v>42</v>
      </c>
      <c r="N58">
        <v>17</v>
      </c>
      <c r="O58">
        <v>0.79</v>
      </c>
      <c r="P58">
        <v>-4.0000000000000036E-2</v>
      </c>
      <c r="Q58" t="s">
        <v>114</v>
      </c>
      <c r="R58" t="s">
        <v>120</v>
      </c>
      <c r="S58" t="s">
        <v>116</v>
      </c>
      <c r="T58" t="s">
        <v>117</v>
      </c>
      <c r="U58" t="s">
        <v>118</v>
      </c>
    </row>
    <row r="59" spans="1:21" x14ac:dyDescent="0.3">
      <c r="A59">
        <v>30</v>
      </c>
      <c r="B59">
        <v>25905</v>
      </c>
      <c r="C59" t="s">
        <v>62</v>
      </c>
      <c r="D59" t="s">
        <v>65</v>
      </c>
      <c r="E59" t="s">
        <v>64</v>
      </c>
      <c r="F59" t="s">
        <v>55</v>
      </c>
      <c r="G59" s="1">
        <v>41749</v>
      </c>
      <c r="H59" s="1">
        <v>23688</v>
      </c>
      <c r="I59" t="s">
        <v>20</v>
      </c>
      <c r="J59">
        <v>5578</v>
      </c>
      <c r="K59">
        <v>0.76</v>
      </c>
      <c r="L59">
        <v>0.97</v>
      </c>
      <c r="M59">
        <v>61</v>
      </c>
      <c r="N59">
        <v>12</v>
      </c>
      <c r="O59">
        <v>0.86499999999999999</v>
      </c>
      <c r="P59">
        <v>0.20999999999999996</v>
      </c>
      <c r="Q59" t="s">
        <v>119</v>
      </c>
      <c r="R59" t="s">
        <v>121</v>
      </c>
      <c r="S59" t="s">
        <v>122</v>
      </c>
      <c r="T59" t="s">
        <v>123</v>
      </c>
      <c r="U59" t="s">
        <v>117</v>
      </c>
    </row>
    <row r="60" spans="1:21" x14ac:dyDescent="0.3">
      <c r="A60">
        <v>50</v>
      </c>
      <c r="B60">
        <v>30350</v>
      </c>
      <c r="C60" t="s">
        <v>53</v>
      </c>
      <c r="D60" t="s">
        <v>65</v>
      </c>
      <c r="E60" t="s">
        <v>64</v>
      </c>
      <c r="F60" t="s">
        <v>51</v>
      </c>
      <c r="G60" s="1">
        <v>37817</v>
      </c>
      <c r="H60" s="1">
        <v>25539</v>
      </c>
      <c r="I60" t="s">
        <v>20</v>
      </c>
      <c r="J60">
        <v>6348</v>
      </c>
      <c r="K60">
        <v>0.76</v>
      </c>
      <c r="L60">
        <v>0.69</v>
      </c>
      <c r="M60">
        <v>56</v>
      </c>
      <c r="N60">
        <v>22</v>
      </c>
      <c r="O60">
        <v>0.72499999999999998</v>
      </c>
      <c r="P60">
        <v>-7.0000000000000062E-2</v>
      </c>
      <c r="Q60" t="s">
        <v>114</v>
      </c>
      <c r="R60" t="s">
        <v>121</v>
      </c>
      <c r="S60" t="s">
        <v>116</v>
      </c>
      <c r="T60" t="s">
        <v>117</v>
      </c>
      <c r="U60" t="s">
        <v>117</v>
      </c>
    </row>
    <row r="61" spans="1:21" x14ac:dyDescent="0.3">
      <c r="A61">
        <v>58</v>
      </c>
      <c r="B61">
        <v>30349</v>
      </c>
      <c r="C61" t="s">
        <v>33</v>
      </c>
      <c r="D61" t="s">
        <v>65</v>
      </c>
      <c r="E61" t="s">
        <v>64</v>
      </c>
      <c r="F61" t="s">
        <v>30</v>
      </c>
      <c r="G61" s="1">
        <v>42598</v>
      </c>
      <c r="H61" s="1">
        <v>25876</v>
      </c>
      <c r="I61" t="s">
        <v>20</v>
      </c>
      <c r="J61">
        <v>1952</v>
      </c>
      <c r="K61">
        <v>0.83</v>
      </c>
      <c r="L61">
        <v>0.76</v>
      </c>
      <c r="M61">
        <v>55</v>
      </c>
      <c r="N61">
        <v>9</v>
      </c>
      <c r="O61">
        <v>0.79499999999999993</v>
      </c>
      <c r="P61">
        <v>-6.9999999999999951E-2</v>
      </c>
      <c r="Q61" t="s">
        <v>114</v>
      </c>
      <c r="R61" t="s">
        <v>124</v>
      </c>
      <c r="S61" t="s">
        <v>125</v>
      </c>
      <c r="T61" t="s">
        <v>126</v>
      </c>
      <c r="U61" t="s">
        <v>117</v>
      </c>
    </row>
    <row r="62" spans="1:21" x14ac:dyDescent="0.3">
      <c r="A62">
        <v>71</v>
      </c>
      <c r="B62">
        <v>30460</v>
      </c>
      <c r="C62" t="s">
        <v>37</v>
      </c>
      <c r="D62" t="s">
        <v>65</v>
      </c>
      <c r="E62" t="s">
        <v>64</v>
      </c>
      <c r="F62" t="s">
        <v>51</v>
      </c>
      <c r="G62" s="1">
        <v>40680</v>
      </c>
      <c r="H62" s="1">
        <v>28100</v>
      </c>
      <c r="I62" t="s">
        <v>20</v>
      </c>
      <c r="J62">
        <v>18214</v>
      </c>
      <c r="K62">
        <v>0.78</v>
      </c>
      <c r="L62">
        <v>0.64</v>
      </c>
      <c r="M62">
        <v>49</v>
      </c>
      <c r="N62">
        <v>15</v>
      </c>
      <c r="O62">
        <v>0.71</v>
      </c>
      <c r="P62">
        <v>-0.14000000000000001</v>
      </c>
      <c r="Q62" t="s">
        <v>114</v>
      </c>
      <c r="R62" t="s">
        <v>120</v>
      </c>
      <c r="S62" t="s">
        <v>116</v>
      </c>
      <c r="T62" t="s">
        <v>117</v>
      </c>
      <c r="U62" t="s">
        <v>118</v>
      </c>
    </row>
    <row r="63" spans="1:21" x14ac:dyDescent="0.3">
      <c r="A63">
        <v>1</v>
      </c>
      <c r="B63">
        <v>26434</v>
      </c>
      <c r="C63" t="s">
        <v>39</v>
      </c>
      <c r="D63" t="s">
        <v>66</v>
      </c>
      <c r="E63" t="s">
        <v>67</v>
      </c>
      <c r="F63" t="s">
        <v>51</v>
      </c>
      <c r="G63" s="1">
        <v>39036</v>
      </c>
      <c r="H63" s="1">
        <v>29537</v>
      </c>
      <c r="I63" t="s">
        <v>20</v>
      </c>
      <c r="J63">
        <v>20500</v>
      </c>
      <c r="K63">
        <v>0.82</v>
      </c>
      <c r="L63">
        <v>0.86</v>
      </c>
      <c r="M63">
        <v>45</v>
      </c>
      <c r="N63">
        <v>19</v>
      </c>
      <c r="O63">
        <v>0.84</v>
      </c>
      <c r="P63">
        <v>4.0000000000000036E-2</v>
      </c>
      <c r="Q63" t="s">
        <v>119</v>
      </c>
      <c r="R63" t="s">
        <v>115</v>
      </c>
      <c r="S63" t="s">
        <v>116</v>
      </c>
      <c r="T63" t="s">
        <v>117</v>
      </c>
      <c r="U63" t="s">
        <v>118</v>
      </c>
    </row>
    <row r="64" spans="1:21" x14ac:dyDescent="0.3">
      <c r="A64">
        <v>6</v>
      </c>
      <c r="B64">
        <v>27154</v>
      </c>
      <c r="C64" t="s">
        <v>42</v>
      </c>
      <c r="D64" t="s">
        <v>68</v>
      </c>
      <c r="E64" t="s">
        <v>67</v>
      </c>
      <c r="F64" t="s">
        <v>51</v>
      </c>
      <c r="G64" s="1">
        <v>37121</v>
      </c>
      <c r="H64" s="1">
        <v>24296</v>
      </c>
      <c r="I64" t="s">
        <v>20</v>
      </c>
      <c r="J64">
        <v>17233</v>
      </c>
      <c r="K64">
        <v>0.89</v>
      </c>
      <c r="L64">
        <v>0.41</v>
      </c>
      <c r="M64">
        <v>59</v>
      </c>
      <c r="N64">
        <v>24</v>
      </c>
      <c r="O64">
        <v>0.65</v>
      </c>
      <c r="P64">
        <v>-0.48000000000000004</v>
      </c>
      <c r="Q64" t="s">
        <v>114</v>
      </c>
      <c r="R64" t="s">
        <v>120</v>
      </c>
      <c r="S64" t="s">
        <v>116</v>
      </c>
      <c r="T64" t="s">
        <v>117</v>
      </c>
      <c r="U64" t="s">
        <v>117</v>
      </c>
    </row>
    <row r="65" spans="1:21" x14ac:dyDescent="0.3">
      <c r="A65">
        <v>7</v>
      </c>
      <c r="B65">
        <v>27008</v>
      </c>
      <c r="C65" t="s">
        <v>69</v>
      </c>
      <c r="D65" t="s">
        <v>70</v>
      </c>
      <c r="E65" t="s">
        <v>67</v>
      </c>
      <c r="F65" t="s">
        <v>30</v>
      </c>
      <c r="G65" s="1">
        <v>37758</v>
      </c>
      <c r="H65" s="1">
        <v>30195</v>
      </c>
      <c r="I65" t="s">
        <v>20</v>
      </c>
      <c r="J65">
        <v>19987</v>
      </c>
      <c r="K65">
        <v>0.76</v>
      </c>
      <c r="L65">
        <v>0.55000000000000004</v>
      </c>
      <c r="M65">
        <v>43</v>
      </c>
      <c r="N65">
        <v>23</v>
      </c>
      <c r="O65">
        <v>0.65500000000000003</v>
      </c>
      <c r="P65">
        <v>-0.20999999999999996</v>
      </c>
      <c r="Q65" t="s">
        <v>114</v>
      </c>
      <c r="R65" t="s">
        <v>120</v>
      </c>
      <c r="S65" t="s">
        <v>116</v>
      </c>
      <c r="T65" t="s">
        <v>117</v>
      </c>
      <c r="U65" t="s">
        <v>118</v>
      </c>
    </row>
    <row r="66" spans="1:21" x14ac:dyDescent="0.3">
      <c r="A66">
        <v>8</v>
      </c>
      <c r="B66">
        <v>27621</v>
      </c>
      <c r="C66" t="s">
        <v>45</v>
      </c>
      <c r="D66" t="s">
        <v>71</v>
      </c>
      <c r="E66" t="s">
        <v>67</v>
      </c>
      <c r="F66" t="s">
        <v>55</v>
      </c>
      <c r="G66" s="1">
        <v>39600</v>
      </c>
      <c r="H66" s="1">
        <v>29625</v>
      </c>
      <c r="I66" t="s">
        <v>20</v>
      </c>
      <c r="J66">
        <v>23537</v>
      </c>
      <c r="K66">
        <v>0.87</v>
      </c>
      <c r="L66">
        <v>0.69</v>
      </c>
      <c r="M66">
        <v>45</v>
      </c>
      <c r="N66">
        <v>18</v>
      </c>
      <c r="O66">
        <v>0.78</v>
      </c>
      <c r="P66">
        <v>-0.18000000000000005</v>
      </c>
      <c r="Q66" t="s">
        <v>114</v>
      </c>
      <c r="R66" t="s">
        <v>115</v>
      </c>
      <c r="S66" t="s">
        <v>116</v>
      </c>
      <c r="T66" t="s">
        <v>117</v>
      </c>
      <c r="U66" t="s">
        <v>118</v>
      </c>
    </row>
    <row r="67" spans="1:21" x14ac:dyDescent="0.3">
      <c r="A67">
        <v>26</v>
      </c>
      <c r="B67">
        <v>27374</v>
      </c>
      <c r="C67" t="s">
        <v>72</v>
      </c>
      <c r="D67" t="s">
        <v>70</v>
      </c>
      <c r="E67" t="s">
        <v>67</v>
      </c>
      <c r="F67" t="s">
        <v>51</v>
      </c>
      <c r="G67" s="1">
        <v>42491</v>
      </c>
      <c r="H67" s="1">
        <v>27603</v>
      </c>
      <c r="I67" t="s">
        <v>20</v>
      </c>
      <c r="J67">
        <v>7935</v>
      </c>
      <c r="K67">
        <v>0.83</v>
      </c>
      <c r="L67">
        <v>0.41</v>
      </c>
      <c r="M67">
        <v>50</v>
      </c>
      <c r="N67">
        <v>10</v>
      </c>
      <c r="O67">
        <v>0.62</v>
      </c>
      <c r="P67">
        <v>-0.42</v>
      </c>
      <c r="Q67" t="s">
        <v>114</v>
      </c>
      <c r="R67" t="s">
        <v>121</v>
      </c>
      <c r="S67" t="s">
        <v>122</v>
      </c>
      <c r="T67" t="s">
        <v>123</v>
      </c>
      <c r="U67" t="s">
        <v>117</v>
      </c>
    </row>
    <row r="68" spans="1:21" x14ac:dyDescent="0.3">
      <c r="A68">
        <v>27</v>
      </c>
      <c r="B68">
        <v>29368</v>
      </c>
      <c r="C68" t="s">
        <v>73</v>
      </c>
      <c r="D68" t="s">
        <v>68</v>
      </c>
      <c r="E68" t="s">
        <v>67</v>
      </c>
      <c r="F68" t="s">
        <v>30</v>
      </c>
      <c r="G68" s="1">
        <v>42515</v>
      </c>
      <c r="H68" s="1">
        <v>26982</v>
      </c>
      <c r="I68" t="s">
        <v>20</v>
      </c>
      <c r="J68">
        <v>20121</v>
      </c>
      <c r="K68">
        <v>0.8</v>
      </c>
      <c r="L68">
        <v>0.64</v>
      </c>
      <c r="M68">
        <v>52</v>
      </c>
      <c r="N68">
        <v>10</v>
      </c>
      <c r="O68">
        <v>0.72</v>
      </c>
      <c r="P68">
        <v>-0.16000000000000003</v>
      </c>
      <c r="Q68" t="s">
        <v>114</v>
      </c>
      <c r="R68" t="s">
        <v>115</v>
      </c>
      <c r="S68" t="s">
        <v>122</v>
      </c>
      <c r="T68" t="s">
        <v>123</v>
      </c>
      <c r="U68" t="s">
        <v>117</v>
      </c>
    </row>
    <row r="69" spans="1:21" x14ac:dyDescent="0.3">
      <c r="A69">
        <v>28</v>
      </c>
      <c r="B69">
        <v>27092</v>
      </c>
      <c r="C69" t="s">
        <v>60</v>
      </c>
      <c r="D69" t="s">
        <v>70</v>
      </c>
      <c r="E69" t="s">
        <v>67</v>
      </c>
      <c r="F69" t="s">
        <v>51</v>
      </c>
      <c r="G69" s="1">
        <v>42597</v>
      </c>
      <c r="H69" s="1">
        <v>29688</v>
      </c>
      <c r="I69" t="s">
        <v>20</v>
      </c>
      <c r="J69">
        <v>16408</v>
      </c>
      <c r="K69">
        <v>0.76</v>
      </c>
      <c r="L69">
        <v>0.91</v>
      </c>
      <c r="M69">
        <v>45</v>
      </c>
      <c r="N69">
        <v>9</v>
      </c>
      <c r="O69">
        <v>0.83499999999999996</v>
      </c>
      <c r="P69">
        <v>0.15000000000000002</v>
      </c>
      <c r="Q69" t="s">
        <v>119</v>
      </c>
      <c r="R69" t="s">
        <v>120</v>
      </c>
      <c r="S69" t="s">
        <v>125</v>
      </c>
      <c r="T69" t="s">
        <v>126</v>
      </c>
      <c r="U69" t="s">
        <v>118</v>
      </c>
    </row>
    <row r="70" spans="1:21" x14ac:dyDescent="0.3">
      <c r="A70">
        <v>29</v>
      </c>
      <c r="B70">
        <v>26429</v>
      </c>
      <c r="C70" t="s">
        <v>61</v>
      </c>
      <c r="D70" t="s">
        <v>71</v>
      </c>
      <c r="E70" t="s">
        <v>67</v>
      </c>
      <c r="F70" t="s">
        <v>30</v>
      </c>
      <c r="G70" s="1">
        <v>35029</v>
      </c>
      <c r="H70" s="1">
        <v>30178</v>
      </c>
      <c r="I70" t="s">
        <v>20</v>
      </c>
      <c r="J70">
        <v>2323</v>
      </c>
      <c r="K70">
        <v>0.83</v>
      </c>
      <c r="L70">
        <v>0.75</v>
      </c>
      <c r="M70">
        <v>43</v>
      </c>
      <c r="N70">
        <v>30</v>
      </c>
      <c r="O70">
        <v>0.79</v>
      </c>
      <c r="P70">
        <v>-7.999999999999996E-2</v>
      </c>
      <c r="Q70" t="s">
        <v>114</v>
      </c>
      <c r="R70" t="s">
        <v>124</v>
      </c>
      <c r="S70" t="s">
        <v>116</v>
      </c>
      <c r="T70" t="s">
        <v>117</v>
      </c>
      <c r="U70" t="s">
        <v>118</v>
      </c>
    </row>
    <row r="71" spans="1:21" x14ac:dyDescent="0.3">
      <c r="A71">
        <v>46</v>
      </c>
      <c r="B71">
        <v>26994</v>
      </c>
      <c r="C71" t="s">
        <v>21</v>
      </c>
      <c r="D71" t="s">
        <v>70</v>
      </c>
      <c r="E71" t="s">
        <v>67</v>
      </c>
      <c r="F71" t="s">
        <v>51</v>
      </c>
      <c r="G71" s="1">
        <v>35855</v>
      </c>
      <c r="H71" s="1">
        <v>24091</v>
      </c>
      <c r="I71" t="s">
        <v>20</v>
      </c>
      <c r="J71">
        <v>6553</v>
      </c>
      <c r="K71">
        <v>0.75</v>
      </c>
      <c r="L71">
        <v>0.75</v>
      </c>
      <c r="M71">
        <v>60</v>
      </c>
      <c r="N71">
        <v>28</v>
      </c>
      <c r="O71">
        <v>0.75</v>
      </c>
      <c r="P71">
        <v>0</v>
      </c>
      <c r="Q71" t="s">
        <v>114</v>
      </c>
      <c r="R71" t="s">
        <v>121</v>
      </c>
      <c r="S71" t="s">
        <v>116</v>
      </c>
      <c r="T71" t="s">
        <v>117</v>
      </c>
      <c r="U71" t="s">
        <v>117</v>
      </c>
    </row>
    <row r="72" spans="1:21" x14ac:dyDescent="0.3">
      <c r="A72">
        <v>47</v>
      </c>
      <c r="B72">
        <v>27007</v>
      </c>
      <c r="C72" t="s">
        <v>25</v>
      </c>
      <c r="D72" t="s">
        <v>68</v>
      </c>
      <c r="E72" t="s">
        <v>67</v>
      </c>
      <c r="F72" t="s">
        <v>51</v>
      </c>
      <c r="G72" s="1">
        <v>36544</v>
      </c>
      <c r="H72" s="1">
        <v>28423</v>
      </c>
      <c r="I72" t="s">
        <v>20</v>
      </c>
      <c r="J72">
        <v>13054</v>
      </c>
      <c r="K72">
        <v>0.82</v>
      </c>
      <c r="L72">
        <v>0.48</v>
      </c>
      <c r="M72">
        <v>48</v>
      </c>
      <c r="N72">
        <v>26</v>
      </c>
      <c r="O72">
        <v>0.64999999999999991</v>
      </c>
      <c r="P72">
        <v>-0.33999999999999997</v>
      </c>
      <c r="Q72" t="s">
        <v>114</v>
      </c>
      <c r="R72" t="s">
        <v>120</v>
      </c>
      <c r="S72" t="s">
        <v>116</v>
      </c>
      <c r="T72" t="s">
        <v>117</v>
      </c>
      <c r="U72" t="s">
        <v>118</v>
      </c>
    </row>
    <row r="73" spans="1:21" x14ac:dyDescent="0.3">
      <c r="A73">
        <v>48</v>
      </c>
      <c r="B73">
        <v>26424</v>
      </c>
      <c r="C73" t="s">
        <v>47</v>
      </c>
      <c r="D73" t="s">
        <v>70</v>
      </c>
      <c r="E73" t="s">
        <v>67</v>
      </c>
      <c r="F73" t="s">
        <v>51</v>
      </c>
      <c r="G73" s="1">
        <v>37118</v>
      </c>
      <c r="H73" s="1">
        <v>27130</v>
      </c>
      <c r="I73" t="s">
        <v>20</v>
      </c>
      <c r="J73">
        <v>20909</v>
      </c>
      <c r="K73">
        <v>0.88</v>
      </c>
      <c r="L73">
        <v>0.46</v>
      </c>
      <c r="M73">
        <v>52</v>
      </c>
      <c r="N73">
        <v>24</v>
      </c>
      <c r="O73">
        <v>0.67</v>
      </c>
      <c r="P73">
        <v>-0.42</v>
      </c>
      <c r="Q73" t="s">
        <v>114</v>
      </c>
      <c r="R73" t="s">
        <v>115</v>
      </c>
      <c r="S73" t="s">
        <v>116</v>
      </c>
      <c r="T73" t="s">
        <v>117</v>
      </c>
      <c r="U73" t="s">
        <v>117</v>
      </c>
    </row>
    <row r="74" spans="1:21" x14ac:dyDescent="0.3">
      <c r="A74">
        <v>49</v>
      </c>
      <c r="B74">
        <v>26415</v>
      </c>
      <c r="C74" t="s">
        <v>74</v>
      </c>
      <c r="D74" t="s">
        <v>71</v>
      </c>
      <c r="E74" t="s">
        <v>67</v>
      </c>
      <c r="F74" t="s">
        <v>30</v>
      </c>
      <c r="G74" s="1">
        <v>37460</v>
      </c>
      <c r="H74" s="1">
        <v>25427</v>
      </c>
      <c r="I74" t="s">
        <v>20</v>
      </c>
      <c r="J74">
        <v>23771</v>
      </c>
      <c r="K74">
        <v>0.88</v>
      </c>
      <c r="L74">
        <v>0.63</v>
      </c>
      <c r="M74">
        <v>56</v>
      </c>
      <c r="N74">
        <v>23</v>
      </c>
      <c r="O74">
        <v>0.755</v>
      </c>
      <c r="P74">
        <v>-0.25</v>
      </c>
      <c r="Q74" t="s">
        <v>114</v>
      </c>
      <c r="R74" t="s">
        <v>115</v>
      </c>
      <c r="S74" t="s">
        <v>116</v>
      </c>
      <c r="T74" t="s">
        <v>117</v>
      </c>
      <c r="U74" t="s">
        <v>117</v>
      </c>
    </row>
    <row r="75" spans="1:21" x14ac:dyDescent="0.3">
      <c r="A75">
        <v>54</v>
      </c>
      <c r="B75">
        <v>27143</v>
      </c>
      <c r="C75" t="s">
        <v>28</v>
      </c>
      <c r="D75" t="s">
        <v>70</v>
      </c>
      <c r="E75" t="s">
        <v>67</v>
      </c>
      <c r="F75" t="s">
        <v>51</v>
      </c>
      <c r="G75" s="1">
        <v>41748</v>
      </c>
      <c r="H75" s="1">
        <v>25434</v>
      </c>
      <c r="I75" t="s">
        <v>20</v>
      </c>
      <c r="J75">
        <v>8529</v>
      </c>
      <c r="K75">
        <v>0.83</v>
      </c>
      <c r="L75">
        <v>0.77</v>
      </c>
      <c r="M75">
        <v>56</v>
      </c>
      <c r="N75">
        <v>12</v>
      </c>
      <c r="O75">
        <v>0.8</v>
      </c>
      <c r="P75">
        <v>-5.9999999999999942E-2</v>
      </c>
      <c r="Q75" t="s">
        <v>119</v>
      </c>
      <c r="R75" t="s">
        <v>121</v>
      </c>
      <c r="S75" t="s">
        <v>122</v>
      </c>
      <c r="T75" t="s">
        <v>123</v>
      </c>
      <c r="U75" t="s">
        <v>117</v>
      </c>
    </row>
    <row r="76" spans="1:21" x14ac:dyDescent="0.3">
      <c r="A76">
        <v>55</v>
      </c>
      <c r="B76">
        <v>27393</v>
      </c>
      <c r="C76" t="s">
        <v>29</v>
      </c>
      <c r="D76" t="s">
        <v>68</v>
      </c>
      <c r="E76" t="s">
        <v>67</v>
      </c>
      <c r="F76" t="s">
        <v>55</v>
      </c>
      <c r="G76" s="1">
        <v>41977</v>
      </c>
      <c r="H76" s="1">
        <v>29527</v>
      </c>
      <c r="I76" t="s">
        <v>20</v>
      </c>
      <c r="J76">
        <v>3453</v>
      </c>
      <c r="K76">
        <v>0.87</v>
      </c>
      <c r="L76">
        <v>0.83</v>
      </c>
      <c r="M76">
        <v>45</v>
      </c>
      <c r="N76">
        <v>11</v>
      </c>
      <c r="O76">
        <v>0.85</v>
      </c>
      <c r="P76">
        <v>-4.0000000000000036E-2</v>
      </c>
      <c r="Q76" t="s">
        <v>119</v>
      </c>
      <c r="R76" t="s">
        <v>124</v>
      </c>
      <c r="S76" t="s">
        <v>122</v>
      </c>
      <c r="T76" t="s">
        <v>123</v>
      </c>
      <c r="U76" t="s">
        <v>118</v>
      </c>
    </row>
    <row r="77" spans="1:21" x14ac:dyDescent="0.3">
      <c r="A77">
        <v>56</v>
      </c>
      <c r="B77">
        <v>30351</v>
      </c>
      <c r="C77" t="s">
        <v>31</v>
      </c>
      <c r="D77" t="s">
        <v>70</v>
      </c>
      <c r="E77" t="s">
        <v>67</v>
      </c>
      <c r="F77" t="s">
        <v>55</v>
      </c>
      <c r="G77" s="1">
        <v>42053</v>
      </c>
      <c r="H77" s="1">
        <v>27098</v>
      </c>
      <c r="I77" t="s">
        <v>20</v>
      </c>
      <c r="J77">
        <v>14170</v>
      </c>
      <c r="K77">
        <v>0.77</v>
      </c>
      <c r="L77">
        <v>0.89</v>
      </c>
      <c r="M77">
        <v>52</v>
      </c>
      <c r="N77">
        <v>11</v>
      </c>
      <c r="O77">
        <v>0.83000000000000007</v>
      </c>
      <c r="P77">
        <v>0.12</v>
      </c>
      <c r="Q77" t="s">
        <v>119</v>
      </c>
      <c r="R77" t="s">
        <v>120</v>
      </c>
      <c r="S77" t="s">
        <v>122</v>
      </c>
      <c r="T77" t="s">
        <v>123</v>
      </c>
      <c r="U77" t="s">
        <v>117</v>
      </c>
    </row>
    <row r="78" spans="1:21" x14ac:dyDescent="0.3">
      <c r="A78">
        <v>57</v>
      </c>
      <c r="B78">
        <v>26441</v>
      </c>
      <c r="C78" t="s">
        <v>32</v>
      </c>
      <c r="D78" t="s">
        <v>71</v>
      </c>
      <c r="E78" t="s">
        <v>67</v>
      </c>
      <c r="F78" t="s">
        <v>30</v>
      </c>
      <c r="G78" s="1">
        <v>42597</v>
      </c>
      <c r="H78" s="1">
        <v>30987</v>
      </c>
      <c r="I78" t="s">
        <v>20</v>
      </c>
      <c r="J78">
        <v>3254</v>
      </c>
      <c r="K78">
        <v>0.81</v>
      </c>
      <c r="L78">
        <v>0.85</v>
      </c>
      <c r="M78">
        <v>41</v>
      </c>
      <c r="N78">
        <v>9</v>
      </c>
      <c r="O78">
        <v>0.83000000000000007</v>
      </c>
      <c r="P78">
        <v>3.9999999999999925E-2</v>
      </c>
      <c r="Q78" t="s">
        <v>119</v>
      </c>
      <c r="R78" t="s">
        <v>124</v>
      </c>
      <c r="S78" t="s">
        <v>125</v>
      </c>
      <c r="T78" t="s">
        <v>126</v>
      </c>
      <c r="U78" t="s">
        <v>118</v>
      </c>
    </row>
    <row r="79" spans="1:21" x14ac:dyDescent="0.3">
      <c r="A79">
        <v>67</v>
      </c>
      <c r="B79">
        <v>27009</v>
      </c>
      <c r="C79" t="s">
        <v>36</v>
      </c>
      <c r="D79" t="s">
        <v>70</v>
      </c>
      <c r="E79" t="s">
        <v>67</v>
      </c>
      <c r="F79" t="s">
        <v>55</v>
      </c>
      <c r="G79" s="1">
        <v>38816</v>
      </c>
      <c r="H79" s="1">
        <v>24781</v>
      </c>
      <c r="I79" t="s">
        <v>20</v>
      </c>
      <c r="J79">
        <v>5735</v>
      </c>
      <c r="K79">
        <v>0.82</v>
      </c>
      <c r="L79">
        <v>0.69</v>
      </c>
      <c r="M79">
        <v>58</v>
      </c>
      <c r="N79">
        <v>20</v>
      </c>
      <c r="O79">
        <v>0.75499999999999989</v>
      </c>
      <c r="P79">
        <v>-0.13</v>
      </c>
      <c r="Q79" t="s">
        <v>114</v>
      </c>
      <c r="R79" t="s">
        <v>121</v>
      </c>
      <c r="S79" t="s">
        <v>116</v>
      </c>
      <c r="T79" t="s">
        <v>117</v>
      </c>
      <c r="U79" t="s">
        <v>117</v>
      </c>
    </row>
    <row r="80" spans="1:21" x14ac:dyDescent="0.3">
      <c r="A80">
        <v>68</v>
      </c>
      <c r="B80">
        <v>26428</v>
      </c>
      <c r="C80" t="s">
        <v>75</v>
      </c>
      <c r="D80" t="s">
        <v>68</v>
      </c>
      <c r="E80" t="s">
        <v>67</v>
      </c>
      <c r="F80" t="s">
        <v>55</v>
      </c>
      <c r="G80" s="1">
        <v>39298</v>
      </c>
      <c r="H80" s="1">
        <v>25572</v>
      </c>
      <c r="I80" t="s">
        <v>20</v>
      </c>
      <c r="J80">
        <v>2725</v>
      </c>
      <c r="K80">
        <v>0.8</v>
      </c>
      <c r="L80">
        <v>0.54</v>
      </c>
      <c r="M80">
        <v>56</v>
      </c>
      <c r="N80">
        <v>18</v>
      </c>
      <c r="O80">
        <v>0.67</v>
      </c>
      <c r="P80">
        <v>-0.26</v>
      </c>
      <c r="Q80" t="s">
        <v>114</v>
      </c>
      <c r="R80" t="s">
        <v>124</v>
      </c>
      <c r="S80" t="s">
        <v>116</v>
      </c>
      <c r="T80" t="s">
        <v>117</v>
      </c>
      <c r="U80" t="s">
        <v>117</v>
      </c>
    </row>
    <row r="81" spans="1:21" x14ac:dyDescent="0.3">
      <c r="A81">
        <v>69</v>
      </c>
      <c r="B81">
        <v>26417</v>
      </c>
      <c r="C81" t="s">
        <v>76</v>
      </c>
      <c r="D81" t="s">
        <v>70</v>
      </c>
      <c r="E81" t="s">
        <v>67</v>
      </c>
      <c r="F81" t="s">
        <v>51</v>
      </c>
      <c r="G81" s="1">
        <v>39725</v>
      </c>
      <c r="H81" s="1">
        <v>25981</v>
      </c>
      <c r="I81" t="s">
        <v>20</v>
      </c>
      <c r="J81">
        <v>5909</v>
      </c>
      <c r="K81">
        <v>0.76</v>
      </c>
      <c r="L81">
        <v>0.43</v>
      </c>
      <c r="M81">
        <v>55</v>
      </c>
      <c r="N81">
        <v>17</v>
      </c>
      <c r="O81">
        <v>0.59499999999999997</v>
      </c>
      <c r="P81">
        <v>-0.33</v>
      </c>
      <c r="Q81" t="s">
        <v>127</v>
      </c>
      <c r="R81" t="s">
        <v>121</v>
      </c>
      <c r="S81" t="s">
        <v>116</v>
      </c>
      <c r="T81" t="s">
        <v>117</v>
      </c>
      <c r="U81" t="s">
        <v>117</v>
      </c>
    </row>
    <row r="82" spans="1:21" x14ac:dyDescent="0.3">
      <c r="A82">
        <v>70</v>
      </c>
      <c r="B82">
        <v>27150</v>
      </c>
      <c r="C82" t="s">
        <v>59</v>
      </c>
      <c r="D82" t="s">
        <v>71</v>
      </c>
      <c r="E82" t="s">
        <v>67</v>
      </c>
      <c r="F82" t="s">
        <v>51</v>
      </c>
      <c r="G82" s="1">
        <v>40180</v>
      </c>
      <c r="H82" s="1">
        <v>23726</v>
      </c>
      <c r="I82" t="s">
        <v>20</v>
      </c>
      <c r="J82">
        <v>11445</v>
      </c>
      <c r="K82">
        <v>0.8</v>
      </c>
      <c r="L82">
        <v>0.57999999999999996</v>
      </c>
      <c r="M82">
        <v>61</v>
      </c>
      <c r="N82">
        <v>16</v>
      </c>
      <c r="O82">
        <v>0.69</v>
      </c>
      <c r="P82">
        <v>-0.22000000000000008</v>
      </c>
      <c r="Q82" t="s">
        <v>114</v>
      </c>
      <c r="R82" t="s">
        <v>120</v>
      </c>
      <c r="S82" t="s">
        <v>116</v>
      </c>
      <c r="T82" t="s">
        <v>117</v>
      </c>
      <c r="U82" t="s">
        <v>117</v>
      </c>
    </row>
    <row r="83" spans="1:21" x14ac:dyDescent="0.3">
      <c r="A83">
        <v>83</v>
      </c>
      <c r="B83">
        <v>26399</v>
      </c>
      <c r="C83" t="s">
        <v>74</v>
      </c>
      <c r="D83" t="s">
        <v>68</v>
      </c>
      <c r="E83" t="s">
        <v>67</v>
      </c>
      <c r="F83" t="s">
        <v>51</v>
      </c>
      <c r="G83" s="1">
        <v>37282</v>
      </c>
      <c r="H83" s="1">
        <v>30042</v>
      </c>
      <c r="I83" t="s">
        <v>20</v>
      </c>
      <c r="J83">
        <v>6834</v>
      </c>
      <c r="K83">
        <v>0.83</v>
      </c>
      <c r="L83">
        <v>0.64</v>
      </c>
      <c r="M83">
        <v>44</v>
      </c>
      <c r="N83">
        <v>24</v>
      </c>
      <c r="O83">
        <v>0.73499999999999999</v>
      </c>
      <c r="P83">
        <v>-0.18999999999999995</v>
      </c>
      <c r="Q83" t="s">
        <v>114</v>
      </c>
      <c r="R83" t="s">
        <v>121</v>
      </c>
      <c r="S83" t="s">
        <v>116</v>
      </c>
      <c r="T83" t="s">
        <v>117</v>
      </c>
      <c r="U83" t="s">
        <v>118</v>
      </c>
    </row>
    <row r="84" spans="1:21" x14ac:dyDescent="0.3">
      <c r="A84">
        <v>84</v>
      </c>
      <c r="B84">
        <v>26442</v>
      </c>
      <c r="C84" t="s">
        <v>53</v>
      </c>
      <c r="D84" t="s">
        <v>70</v>
      </c>
      <c r="E84" t="s">
        <v>67</v>
      </c>
      <c r="F84" t="s">
        <v>55</v>
      </c>
      <c r="G84" s="1">
        <v>37975</v>
      </c>
      <c r="H84" s="1">
        <v>24969</v>
      </c>
      <c r="I84" t="s">
        <v>20</v>
      </c>
      <c r="J84">
        <v>1860</v>
      </c>
      <c r="K84">
        <v>0.89</v>
      </c>
      <c r="L84">
        <v>0.94</v>
      </c>
      <c r="M84">
        <v>58</v>
      </c>
      <c r="N84">
        <v>22</v>
      </c>
      <c r="O84">
        <v>0.91500000000000004</v>
      </c>
      <c r="P84">
        <v>4.9999999999999933E-2</v>
      </c>
      <c r="Q84" t="s">
        <v>119</v>
      </c>
      <c r="R84" t="s">
        <v>124</v>
      </c>
      <c r="S84" t="s">
        <v>116</v>
      </c>
      <c r="T84" t="s">
        <v>117</v>
      </c>
      <c r="U84" t="s">
        <v>117</v>
      </c>
    </row>
    <row r="85" spans="1:21" x14ac:dyDescent="0.3">
      <c r="A85">
        <v>85</v>
      </c>
      <c r="B85">
        <v>25908</v>
      </c>
      <c r="C85" t="s">
        <v>43</v>
      </c>
      <c r="D85" t="s">
        <v>71</v>
      </c>
      <c r="E85" t="s">
        <v>67</v>
      </c>
      <c r="F85" t="s">
        <v>55</v>
      </c>
      <c r="G85" s="1">
        <v>38403</v>
      </c>
      <c r="H85" s="1">
        <v>26618</v>
      </c>
      <c r="I85" t="s">
        <v>20</v>
      </c>
      <c r="J85">
        <v>8730</v>
      </c>
      <c r="K85">
        <v>0.88</v>
      </c>
      <c r="L85">
        <v>0.95</v>
      </c>
      <c r="M85">
        <v>53</v>
      </c>
      <c r="N85">
        <v>21</v>
      </c>
      <c r="O85">
        <v>0.91500000000000004</v>
      </c>
      <c r="P85">
        <v>6.9999999999999951E-2</v>
      </c>
      <c r="Q85" t="s">
        <v>119</v>
      </c>
      <c r="R85" t="s">
        <v>121</v>
      </c>
      <c r="S85" t="s">
        <v>116</v>
      </c>
      <c r="T85" t="s">
        <v>117</v>
      </c>
      <c r="U85" t="s">
        <v>117</v>
      </c>
    </row>
    <row r="86" spans="1:21" x14ac:dyDescent="0.3">
      <c r="A86">
        <v>4</v>
      </c>
      <c r="B86">
        <v>29769</v>
      </c>
      <c r="C86" t="s">
        <v>41</v>
      </c>
      <c r="D86" t="s">
        <v>77</v>
      </c>
      <c r="E86" t="s">
        <v>78</v>
      </c>
      <c r="F86" t="s">
        <v>55</v>
      </c>
      <c r="G86" s="1">
        <v>41499</v>
      </c>
      <c r="H86" s="1">
        <v>26494</v>
      </c>
      <c r="I86" t="s">
        <v>52</v>
      </c>
      <c r="J86">
        <v>26520</v>
      </c>
      <c r="K86">
        <v>0.81</v>
      </c>
      <c r="L86">
        <v>0.66</v>
      </c>
      <c r="M86">
        <v>53</v>
      </c>
      <c r="N86">
        <v>12</v>
      </c>
      <c r="O86">
        <v>0.7350000000000001</v>
      </c>
      <c r="P86">
        <v>-0.15000000000000002</v>
      </c>
      <c r="Q86" t="s">
        <v>114</v>
      </c>
      <c r="R86" t="s">
        <v>115</v>
      </c>
      <c r="S86" t="s">
        <v>122</v>
      </c>
      <c r="T86" t="s">
        <v>123</v>
      </c>
      <c r="U86" t="s">
        <v>117</v>
      </c>
    </row>
    <row r="87" spans="1:21" x14ac:dyDescent="0.3">
      <c r="A87">
        <v>12</v>
      </c>
      <c r="B87">
        <v>26401</v>
      </c>
      <c r="C87" t="s">
        <v>47</v>
      </c>
      <c r="D87" t="s">
        <v>79</v>
      </c>
      <c r="E87" t="s">
        <v>78</v>
      </c>
      <c r="F87" t="s">
        <v>55</v>
      </c>
      <c r="G87" s="1">
        <v>42477</v>
      </c>
      <c r="H87" s="1">
        <v>25717</v>
      </c>
      <c r="I87" t="s">
        <v>20</v>
      </c>
      <c r="J87">
        <v>16455</v>
      </c>
      <c r="K87">
        <v>0.75</v>
      </c>
      <c r="L87">
        <v>0.92</v>
      </c>
      <c r="M87">
        <v>56</v>
      </c>
      <c r="N87">
        <v>10</v>
      </c>
      <c r="O87">
        <v>0.83499999999999996</v>
      </c>
      <c r="P87">
        <v>0.17000000000000004</v>
      </c>
      <c r="Q87" t="s">
        <v>119</v>
      </c>
      <c r="R87" t="s">
        <v>120</v>
      </c>
      <c r="S87" t="s">
        <v>122</v>
      </c>
      <c r="T87" t="s">
        <v>123</v>
      </c>
      <c r="U87" t="s">
        <v>117</v>
      </c>
    </row>
    <row r="88" spans="1:21" x14ac:dyDescent="0.3">
      <c r="A88">
        <v>13</v>
      </c>
      <c r="B88">
        <v>26435</v>
      </c>
      <c r="C88" t="s">
        <v>74</v>
      </c>
      <c r="D88" t="s">
        <v>79</v>
      </c>
      <c r="E88" t="s">
        <v>78</v>
      </c>
      <c r="F88" t="s">
        <v>30</v>
      </c>
      <c r="G88" s="1">
        <v>37131</v>
      </c>
      <c r="H88" s="1">
        <v>22910</v>
      </c>
      <c r="I88" t="s">
        <v>20</v>
      </c>
      <c r="J88">
        <v>4981</v>
      </c>
      <c r="K88">
        <v>0.77</v>
      </c>
      <c r="L88">
        <v>0.86</v>
      </c>
      <c r="M88">
        <v>63</v>
      </c>
      <c r="N88">
        <v>24</v>
      </c>
      <c r="O88">
        <v>0.81499999999999995</v>
      </c>
      <c r="P88">
        <v>8.9999999999999969E-2</v>
      </c>
      <c r="Q88" t="s">
        <v>119</v>
      </c>
      <c r="R88" t="s">
        <v>124</v>
      </c>
      <c r="S88" t="s">
        <v>116</v>
      </c>
      <c r="T88" t="s">
        <v>117</v>
      </c>
      <c r="U88" t="s">
        <v>117</v>
      </c>
    </row>
    <row r="89" spans="1:21" x14ac:dyDescent="0.3">
      <c r="A89">
        <v>33</v>
      </c>
      <c r="B89">
        <v>26410</v>
      </c>
      <c r="C89" t="s">
        <v>75</v>
      </c>
      <c r="D89" t="s">
        <v>79</v>
      </c>
      <c r="E89" t="s">
        <v>78</v>
      </c>
      <c r="F89" t="s">
        <v>30</v>
      </c>
      <c r="G89" s="1">
        <v>42417</v>
      </c>
      <c r="H89" s="1">
        <v>27626</v>
      </c>
      <c r="I89" t="s">
        <v>20</v>
      </c>
      <c r="J89">
        <v>3165</v>
      </c>
      <c r="K89">
        <v>0.84</v>
      </c>
      <c r="L89">
        <v>0.78</v>
      </c>
      <c r="M89">
        <v>50</v>
      </c>
      <c r="N89">
        <v>10</v>
      </c>
      <c r="O89">
        <v>0.81</v>
      </c>
      <c r="P89">
        <v>-5.9999999999999942E-2</v>
      </c>
      <c r="Q89" t="s">
        <v>119</v>
      </c>
      <c r="R89" t="s">
        <v>124</v>
      </c>
      <c r="S89" t="s">
        <v>122</v>
      </c>
      <c r="T89" t="s">
        <v>123</v>
      </c>
      <c r="U89" t="s">
        <v>117</v>
      </c>
    </row>
    <row r="90" spans="1:21" x14ac:dyDescent="0.3">
      <c r="A90">
        <v>34</v>
      </c>
      <c r="B90">
        <v>27385</v>
      </c>
      <c r="C90" t="s">
        <v>76</v>
      </c>
      <c r="D90" t="s">
        <v>79</v>
      </c>
      <c r="E90" t="s">
        <v>78</v>
      </c>
      <c r="F90" t="s">
        <v>51</v>
      </c>
      <c r="G90" s="1">
        <v>42462</v>
      </c>
      <c r="H90" s="1">
        <v>24785</v>
      </c>
      <c r="I90" t="s">
        <v>20</v>
      </c>
      <c r="J90">
        <v>20883</v>
      </c>
      <c r="K90">
        <v>0.85</v>
      </c>
      <c r="L90">
        <v>0.76</v>
      </c>
      <c r="M90">
        <v>58</v>
      </c>
      <c r="N90">
        <v>10</v>
      </c>
      <c r="O90">
        <v>0.80499999999999994</v>
      </c>
      <c r="P90">
        <v>-8.9999999999999969E-2</v>
      </c>
      <c r="Q90" t="s">
        <v>119</v>
      </c>
      <c r="R90" t="s">
        <v>115</v>
      </c>
      <c r="S90" t="s">
        <v>122</v>
      </c>
      <c r="T90" t="s">
        <v>123</v>
      </c>
      <c r="U90" t="s">
        <v>117</v>
      </c>
    </row>
    <row r="91" spans="1:21" x14ac:dyDescent="0.3">
      <c r="A91">
        <v>61</v>
      </c>
      <c r="B91">
        <v>26389</v>
      </c>
      <c r="C91" t="s">
        <v>72</v>
      </c>
      <c r="D91" t="s">
        <v>79</v>
      </c>
      <c r="E91" t="s">
        <v>78</v>
      </c>
      <c r="F91" t="s">
        <v>55</v>
      </c>
      <c r="G91" s="1">
        <v>43071</v>
      </c>
      <c r="H91" s="1">
        <v>21695</v>
      </c>
      <c r="I91" t="s">
        <v>20</v>
      </c>
      <c r="J91">
        <v>13380</v>
      </c>
      <c r="K91">
        <v>0.8</v>
      </c>
      <c r="L91">
        <v>0.72</v>
      </c>
      <c r="M91">
        <v>67</v>
      </c>
      <c r="N91">
        <v>8</v>
      </c>
      <c r="O91">
        <v>0.76</v>
      </c>
      <c r="P91">
        <v>-8.0000000000000071E-2</v>
      </c>
      <c r="Q91" t="s">
        <v>114</v>
      </c>
      <c r="R91" t="s">
        <v>120</v>
      </c>
      <c r="S91" t="s">
        <v>125</v>
      </c>
      <c r="T91" t="s">
        <v>126</v>
      </c>
      <c r="U91" t="s">
        <v>117</v>
      </c>
    </row>
    <row r="92" spans="1:21" x14ac:dyDescent="0.3">
      <c r="A92">
        <v>62</v>
      </c>
      <c r="B92">
        <v>30459</v>
      </c>
      <c r="C92" t="s">
        <v>73</v>
      </c>
      <c r="D92" t="s">
        <v>79</v>
      </c>
      <c r="E92" t="s">
        <v>78</v>
      </c>
      <c r="F92" t="s">
        <v>30</v>
      </c>
      <c r="G92" s="1">
        <v>43444</v>
      </c>
      <c r="H92" s="1">
        <v>25438</v>
      </c>
      <c r="I92" t="s">
        <v>20</v>
      </c>
      <c r="J92">
        <v>18856</v>
      </c>
      <c r="K92">
        <v>0.81</v>
      </c>
      <c r="L92">
        <v>0.48</v>
      </c>
      <c r="M92">
        <v>56</v>
      </c>
      <c r="N92">
        <v>7</v>
      </c>
      <c r="O92">
        <v>0.64500000000000002</v>
      </c>
      <c r="P92">
        <v>-0.33000000000000007</v>
      </c>
      <c r="Q92" t="s">
        <v>114</v>
      </c>
      <c r="R92" t="s">
        <v>120</v>
      </c>
      <c r="S92" t="s">
        <v>125</v>
      </c>
      <c r="T92" t="s">
        <v>126</v>
      </c>
      <c r="U92" t="s">
        <v>117</v>
      </c>
    </row>
    <row r="93" spans="1:21" x14ac:dyDescent="0.3">
      <c r="A93">
        <v>74</v>
      </c>
      <c r="B93">
        <v>27780</v>
      </c>
      <c r="C93" t="s">
        <v>40</v>
      </c>
      <c r="D93" t="s">
        <v>79</v>
      </c>
      <c r="E93" t="s">
        <v>78</v>
      </c>
      <c r="F93" t="s">
        <v>30</v>
      </c>
      <c r="G93" s="1">
        <v>42403</v>
      </c>
      <c r="H93" s="1">
        <v>30445</v>
      </c>
      <c r="I93" t="s">
        <v>20</v>
      </c>
      <c r="J93">
        <v>13891</v>
      </c>
      <c r="K93">
        <v>0.86</v>
      </c>
      <c r="L93">
        <v>0.97</v>
      </c>
      <c r="M93">
        <v>43</v>
      </c>
      <c r="N93">
        <v>10</v>
      </c>
      <c r="O93">
        <v>0.91500000000000004</v>
      </c>
      <c r="P93">
        <v>0.10999999999999999</v>
      </c>
      <c r="Q93" t="s">
        <v>119</v>
      </c>
      <c r="R93" t="s">
        <v>120</v>
      </c>
      <c r="S93" t="s">
        <v>122</v>
      </c>
      <c r="T93" t="s">
        <v>123</v>
      </c>
      <c r="U93" t="s">
        <v>118</v>
      </c>
    </row>
    <row r="94" spans="1:21" x14ac:dyDescent="0.3">
      <c r="A94">
        <v>75</v>
      </c>
      <c r="B94">
        <v>25907</v>
      </c>
      <c r="C94" t="s">
        <v>41</v>
      </c>
      <c r="D94" t="s">
        <v>79</v>
      </c>
      <c r="E94" t="s">
        <v>78</v>
      </c>
      <c r="F94" t="s">
        <v>51</v>
      </c>
      <c r="G94" s="1">
        <v>42417</v>
      </c>
      <c r="H94" s="1">
        <v>28157</v>
      </c>
      <c r="I94" t="s">
        <v>20</v>
      </c>
      <c r="J94">
        <v>19451</v>
      </c>
      <c r="K94">
        <v>0.77</v>
      </c>
      <c r="L94">
        <v>0.63</v>
      </c>
      <c r="M94">
        <v>49</v>
      </c>
      <c r="N94">
        <v>10</v>
      </c>
      <c r="O94">
        <v>0.7</v>
      </c>
      <c r="P94">
        <v>-0.14000000000000001</v>
      </c>
      <c r="Q94" t="s">
        <v>114</v>
      </c>
      <c r="R94" t="s">
        <v>120</v>
      </c>
      <c r="S94" t="s">
        <v>122</v>
      </c>
      <c r="T94" t="s">
        <v>123</v>
      </c>
      <c r="U94" t="s">
        <v>118</v>
      </c>
    </row>
    <row r="95" spans="1:21" x14ac:dyDescent="0.3">
      <c r="A95">
        <v>86</v>
      </c>
      <c r="B95">
        <v>27144</v>
      </c>
      <c r="C95" t="s">
        <v>26</v>
      </c>
      <c r="D95" t="s">
        <v>79</v>
      </c>
      <c r="E95" t="s">
        <v>78</v>
      </c>
      <c r="F95" t="s">
        <v>55</v>
      </c>
      <c r="G95" s="1">
        <v>39102</v>
      </c>
      <c r="H95" s="1">
        <v>24807</v>
      </c>
      <c r="I95" t="s">
        <v>20</v>
      </c>
      <c r="J95">
        <v>2185</v>
      </c>
      <c r="K95">
        <v>0.79</v>
      </c>
      <c r="L95">
        <v>0.65</v>
      </c>
      <c r="M95">
        <v>58</v>
      </c>
      <c r="N95">
        <v>19</v>
      </c>
      <c r="O95">
        <v>0.72</v>
      </c>
      <c r="P95">
        <v>-0.14000000000000001</v>
      </c>
      <c r="Q95" t="s">
        <v>114</v>
      </c>
      <c r="R95" t="s">
        <v>124</v>
      </c>
      <c r="S95" t="s">
        <v>116</v>
      </c>
      <c r="T95" t="s">
        <v>117</v>
      </c>
      <c r="U95" t="s">
        <v>117</v>
      </c>
    </row>
  </sheetData>
  <phoneticPr fontId="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91FFE-25E5-4104-B152-57643EA46413}">
  <sheetPr>
    <tabColor theme="4" tint="0.59999389629810485"/>
  </sheetPr>
  <dimension ref="A1:O45"/>
  <sheetViews>
    <sheetView workbookViewId="0">
      <selection activeCell="F28" sqref="F28:H28"/>
    </sheetView>
  </sheetViews>
  <sheetFormatPr defaultRowHeight="14.4" x14ac:dyDescent="0.3"/>
  <cols>
    <col min="1" max="1" width="12.44140625" bestFit="1" customWidth="1"/>
    <col min="2" max="2" width="17.5546875" bestFit="1" customWidth="1"/>
    <col min="3" max="3" width="19.5546875" bestFit="1" customWidth="1"/>
    <col min="4" max="4" width="14.33203125" bestFit="1" customWidth="1"/>
    <col min="5" max="5" width="32.33203125" customWidth="1"/>
    <col min="6" max="6" width="15.77734375" bestFit="1" customWidth="1"/>
    <col min="7" max="7" width="11.109375" bestFit="1" customWidth="1"/>
    <col min="8" max="8" width="39.44140625" bestFit="1" customWidth="1"/>
    <col min="9" max="9" width="11.44140625" bestFit="1" customWidth="1"/>
    <col min="10" max="10" width="13.33203125" customWidth="1"/>
    <col min="11" max="11" width="39.44140625" bestFit="1" customWidth="1"/>
    <col min="12" max="12" width="11.44140625" bestFit="1" customWidth="1"/>
    <col min="14" max="14" width="29.33203125" bestFit="1" customWidth="1"/>
    <col min="15" max="15" width="11.109375" bestFit="1" customWidth="1"/>
  </cols>
  <sheetData>
    <row r="1" spans="1:15" ht="18.600000000000001" customHeight="1" x14ac:dyDescent="0.3">
      <c r="A1" s="19" t="s">
        <v>88</v>
      </c>
      <c r="B1" s="19"/>
      <c r="C1" s="19"/>
      <c r="D1" s="19"/>
      <c r="E1" s="19"/>
      <c r="H1" s="18" t="s">
        <v>99</v>
      </c>
      <c r="I1" s="18"/>
      <c r="J1" s="9"/>
      <c r="K1" s="18" t="s">
        <v>102</v>
      </c>
      <c r="L1" s="18"/>
      <c r="N1" s="18" t="s">
        <v>105</v>
      </c>
      <c r="O1" s="18"/>
    </row>
    <row r="2" spans="1:15" x14ac:dyDescent="0.3">
      <c r="A2" t="s">
        <v>81</v>
      </c>
      <c r="B2" t="s">
        <v>82</v>
      </c>
      <c r="C2" t="s">
        <v>85</v>
      </c>
      <c r="D2" t="s">
        <v>84</v>
      </c>
      <c r="E2" t="s">
        <v>86</v>
      </c>
      <c r="F2" t="s">
        <v>87</v>
      </c>
      <c r="H2" s="3" t="s">
        <v>101</v>
      </c>
      <c r="I2" t="s">
        <v>100</v>
      </c>
      <c r="K2" s="3" t="s">
        <v>101</v>
      </c>
      <c r="L2" t="s">
        <v>87</v>
      </c>
      <c r="N2" s="3" t="s">
        <v>101</v>
      </c>
      <c r="O2" t="s">
        <v>87</v>
      </c>
    </row>
    <row r="3" spans="1:15" x14ac:dyDescent="0.3">
      <c r="A3" s="5">
        <v>1428</v>
      </c>
      <c r="B3" s="5">
        <v>35000</v>
      </c>
      <c r="C3" s="5">
        <v>13282.744680851063</v>
      </c>
      <c r="D3" s="5">
        <v>1248578</v>
      </c>
      <c r="E3" s="6">
        <v>15.361702127659575</v>
      </c>
      <c r="F3" s="6">
        <v>94</v>
      </c>
      <c r="H3" s="2" t="s">
        <v>79</v>
      </c>
      <c r="I3" s="5">
        <v>113247</v>
      </c>
      <c r="K3" s="2" t="s">
        <v>79</v>
      </c>
      <c r="L3" s="6">
        <v>9</v>
      </c>
      <c r="N3" s="2" t="s">
        <v>20</v>
      </c>
      <c r="O3" s="6">
        <v>55</v>
      </c>
    </row>
    <row r="4" spans="1:15" x14ac:dyDescent="0.3">
      <c r="H4" s="8" t="s">
        <v>51</v>
      </c>
      <c r="I4" s="5">
        <v>40334</v>
      </c>
      <c r="K4" s="8" t="s">
        <v>51</v>
      </c>
      <c r="L4" s="6">
        <v>2</v>
      </c>
      <c r="N4" s="8" t="s">
        <v>51</v>
      </c>
      <c r="O4" s="6">
        <v>24</v>
      </c>
    </row>
    <row r="5" spans="1:15" x14ac:dyDescent="0.3">
      <c r="A5" t="str">
        <f t="shared" ref="A5:F6" si="0">A2</f>
        <v>Min Salary</v>
      </c>
      <c r="B5" t="str">
        <f t="shared" si="0"/>
        <v>Max Salary</v>
      </c>
      <c r="C5" t="str">
        <f t="shared" si="0"/>
        <v>Avg Salries</v>
      </c>
      <c r="D5" t="str">
        <f t="shared" si="0"/>
        <v>Total Salries</v>
      </c>
      <c r="E5" t="str">
        <f t="shared" si="0"/>
        <v>Average Experience</v>
      </c>
      <c r="F5" t="str">
        <f t="shared" si="0"/>
        <v>#Employees</v>
      </c>
      <c r="H5" s="8" t="s">
        <v>55</v>
      </c>
      <c r="I5" s="5">
        <v>32020</v>
      </c>
      <c r="K5" s="8" t="s">
        <v>55</v>
      </c>
      <c r="L5" s="6">
        <v>3</v>
      </c>
      <c r="N5" s="8" t="s">
        <v>55</v>
      </c>
      <c r="O5" s="6">
        <v>20</v>
      </c>
    </row>
    <row r="6" spans="1:15" x14ac:dyDescent="0.3">
      <c r="A6" s="7">
        <f t="shared" si="0"/>
        <v>1428</v>
      </c>
      <c r="B6" s="7">
        <f t="shared" si="0"/>
        <v>35000</v>
      </c>
      <c r="C6" s="7">
        <f t="shared" si="0"/>
        <v>13282.744680851063</v>
      </c>
      <c r="D6" s="7">
        <f t="shared" si="0"/>
        <v>1248578</v>
      </c>
      <c r="E6" s="6">
        <f t="shared" si="0"/>
        <v>15.361702127659575</v>
      </c>
      <c r="F6" s="6">
        <f t="shared" si="0"/>
        <v>94</v>
      </c>
      <c r="H6" s="8" t="s">
        <v>30</v>
      </c>
      <c r="I6" s="5">
        <v>40893</v>
      </c>
      <c r="K6" s="8" t="s">
        <v>30</v>
      </c>
      <c r="L6" s="6">
        <v>4</v>
      </c>
      <c r="N6" s="8" t="s">
        <v>30</v>
      </c>
      <c r="O6" s="6">
        <v>11</v>
      </c>
    </row>
    <row r="7" spans="1:15" x14ac:dyDescent="0.3">
      <c r="H7" s="2" t="s">
        <v>54</v>
      </c>
      <c r="I7" s="5">
        <v>67718</v>
      </c>
      <c r="K7" s="2" t="s">
        <v>54</v>
      </c>
      <c r="L7" s="6">
        <v>5</v>
      </c>
      <c r="N7" s="2" t="s">
        <v>24</v>
      </c>
      <c r="O7" s="6">
        <v>36</v>
      </c>
    </row>
    <row r="8" spans="1:15" ht="21" x14ac:dyDescent="0.3">
      <c r="A8" s="20" t="s">
        <v>94</v>
      </c>
      <c r="B8" s="20"/>
      <c r="C8" s="20"/>
      <c r="D8" s="20"/>
      <c r="E8" s="20"/>
      <c r="H8" s="8" t="s">
        <v>51</v>
      </c>
      <c r="I8" s="5">
        <v>42080</v>
      </c>
      <c r="K8" s="8" t="s">
        <v>51</v>
      </c>
      <c r="L8" s="6">
        <v>2</v>
      </c>
      <c r="N8" s="8" t="s">
        <v>51</v>
      </c>
      <c r="O8" s="6">
        <v>18</v>
      </c>
    </row>
    <row r="9" spans="1:15" x14ac:dyDescent="0.3">
      <c r="A9" s="3" t="s">
        <v>93</v>
      </c>
      <c r="B9" t="s">
        <v>89</v>
      </c>
      <c r="C9" t="s">
        <v>90</v>
      </c>
      <c r="D9" t="s">
        <v>91</v>
      </c>
      <c r="E9" t="s">
        <v>92</v>
      </c>
      <c r="H9" s="8" t="s">
        <v>55</v>
      </c>
      <c r="I9" s="5">
        <v>25638</v>
      </c>
      <c r="K9" s="8" t="s">
        <v>55</v>
      </c>
      <c r="L9" s="6">
        <v>3</v>
      </c>
      <c r="N9" s="8" t="s">
        <v>55</v>
      </c>
      <c r="O9" s="6">
        <v>14</v>
      </c>
    </row>
    <row r="10" spans="1:15" x14ac:dyDescent="0.3">
      <c r="A10" s="2" t="s">
        <v>51</v>
      </c>
      <c r="B10" s="4">
        <v>0.81953488372093031</v>
      </c>
      <c r="C10" s="4">
        <v>0.65465116279069768</v>
      </c>
      <c r="D10" s="4">
        <v>-0.16488372093023254</v>
      </c>
      <c r="E10" s="4">
        <v>0.73709302325581394</v>
      </c>
      <c r="H10" s="2" t="s">
        <v>77</v>
      </c>
      <c r="I10" s="5">
        <v>26520</v>
      </c>
      <c r="K10" s="2" t="s">
        <v>77</v>
      </c>
      <c r="L10" s="6">
        <v>1</v>
      </c>
      <c r="N10" s="8" t="s">
        <v>30</v>
      </c>
      <c r="O10" s="6">
        <v>4</v>
      </c>
    </row>
    <row r="11" spans="1:15" x14ac:dyDescent="0.3">
      <c r="A11" s="2" t="s">
        <v>55</v>
      </c>
      <c r="B11" s="4">
        <v>0.82142857142857151</v>
      </c>
      <c r="C11" s="4">
        <v>0.7668571428571429</v>
      </c>
      <c r="D11" s="4">
        <v>-5.457142857142859E-2</v>
      </c>
      <c r="E11" s="4">
        <v>0.79414285714285715</v>
      </c>
      <c r="H11" s="8" t="s">
        <v>55</v>
      </c>
      <c r="I11" s="5">
        <v>26520</v>
      </c>
      <c r="K11" s="8" t="s">
        <v>55</v>
      </c>
      <c r="L11" s="6">
        <v>1</v>
      </c>
      <c r="N11" s="2" t="s">
        <v>52</v>
      </c>
      <c r="O11" s="6">
        <v>3</v>
      </c>
    </row>
    <row r="12" spans="1:15" x14ac:dyDescent="0.3">
      <c r="A12" s="2" t="s">
        <v>30</v>
      </c>
      <c r="B12" s="4">
        <v>0.81874999999999998</v>
      </c>
      <c r="C12" s="4">
        <v>0.71812500000000001</v>
      </c>
      <c r="D12" s="4">
        <v>-0.10062500000000002</v>
      </c>
      <c r="E12" s="4">
        <v>0.76843749999999988</v>
      </c>
      <c r="H12" s="2" t="s">
        <v>71</v>
      </c>
      <c r="I12" s="5">
        <v>73060</v>
      </c>
      <c r="K12" s="2" t="s">
        <v>71</v>
      </c>
      <c r="L12" s="6">
        <v>6</v>
      </c>
      <c r="N12" s="8" t="s">
        <v>51</v>
      </c>
      <c r="O12" s="6">
        <v>1</v>
      </c>
    </row>
    <row r="13" spans="1:15" x14ac:dyDescent="0.3">
      <c r="A13" s="2" t="s">
        <v>80</v>
      </c>
      <c r="B13" s="4">
        <v>0.82010638297872329</v>
      </c>
      <c r="C13" s="4">
        <v>0.70723404255319133</v>
      </c>
      <c r="D13" s="4">
        <v>-0.11287234042553197</v>
      </c>
      <c r="E13" s="4">
        <v>0.7636702127659577</v>
      </c>
      <c r="H13" s="8" t="s">
        <v>51</v>
      </c>
      <c r="I13" s="5">
        <v>11445</v>
      </c>
      <c r="K13" s="8" t="s">
        <v>51</v>
      </c>
      <c r="L13" s="6">
        <v>1</v>
      </c>
      <c r="N13" s="8" t="s">
        <v>55</v>
      </c>
      <c r="O13" s="6">
        <v>1</v>
      </c>
    </row>
    <row r="14" spans="1:15" x14ac:dyDescent="0.3">
      <c r="H14" s="8" t="s">
        <v>55</v>
      </c>
      <c r="I14" s="5">
        <v>32267</v>
      </c>
      <c r="K14" s="8" t="s">
        <v>55</v>
      </c>
      <c r="L14" s="6">
        <v>2</v>
      </c>
      <c r="N14" s="8" t="s">
        <v>30</v>
      </c>
      <c r="O14" s="6">
        <v>1</v>
      </c>
    </row>
    <row r="15" spans="1:15" x14ac:dyDescent="0.3">
      <c r="H15" s="8" t="s">
        <v>30</v>
      </c>
      <c r="I15" s="5">
        <v>29348</v>
      </c>
      <c r="K15" s="8" t="s">
        <v>30</v>
      </c>
      <c r="L15" s="6">
        <v>3</v>
      </c>
      <c r="N15" s="2" t="s">
        <v>80</v>
      </c>
      <c r="O15" s="6">
        <v>94</v>
      </c>
    </row>
    <row r="16" spans="1:15" x14ac:dyDescent="0.3">
      <c r="H16" s="2" t="s">
        <v>66</v>
      </c>
      <c r="I16" s="5">
        <v>20500</v>
      </c>
      <c r="K16" s="2" t="s">
        <v>66</v>
      </c>
      <c r="L16" s="6">
        <v>1</v>
      </c>
    </row>
    <row r="17" spans="1:12" x14ac:dyDescent="0.3">
      <c r="H17" s="2" t="s">
        <v>68</v>
      </c>
      <c r="I17" s="5">
        <v>63420</v>
      </c>
      <c r="K17" s="2" t="s">
        <v>68</v>
      </c>
      <c r="L17" s="6">
        <v>6</v>
      </c>
    </row>
    <row r="18" spans="1:12" ht="18" x14ac:dyDescent="0.3">
      <c r="A18" s="21" t="s">
        <v>95</v>
      </c>
      <c r="B18" s="21"/>
      <c r="C18" s="21"/>
      <c r="D18" s="10"/>
      <c r="E18" s="21" t="s">
        <v>104</v>
      </c>
      <c r="F18" s="21"/>
      <c r="H18" s="2" t="s">
        <v>63</v>
      </c>
      <c r="I18" s="5">
        <v>25000</v>
      </c>
      <c r="K18" s="2" t="s">
        <v>63</v>
      </c>
      <c r="L18" s="6">
        <v>1</v>
      </c>
    </row>
    <row r="19" spans="1:12" x14ac:dyDescent="0.3">
      <c r="A19" s="3" t="s">
        <v>93</v>
      </c>
      <c r="B19" t="s">
        <v>96</v>
      </c>
      <c r="C19" t="s">
        <v>97</v>
      </c>
      <c r="E19" s="3" t="s">
        <v>93</v>
      </c>
      <c r="F19" t="s">
        <v>100</v>
      </c>
      <c r="H19" s="2" t="s">
        <v>49</v>
      </c>
      <c r="I19" s="5">
        <v>21575</v>
      </c>
      <c r="K19" s="2" t="s">
        <v>49</v>
      </c>
      <c r="L19" s="6">
        <v>1</v>
      </c>
    </row>
    <row r="20" spans="1:12" x14ac:dyDescent="0.3">
      <c r="A20" s="2" t="s">
        <v>51</v>
      </c>
      <c r="B20" s="6">
        <v>52.441860465116278</v>
      </c>
      <c r="C20" s="6">
        <v>15.976744186046512</v>
      </c>
      <c r="E20" s="2" t="s">
        <v>51</v>
      </c>
      <c r="F20" s="5">
        <v>578940</v>
      </c>
      <c r="H20" s="2" t="s">
        <v>56</v>
      </c>
      <c r="I20" s="5">
        <v>175789</v>
      </c>
      <c r="K20" s="2" t="s">
        <v>56</v>
      </c>
      <c r="L20" s="6">
        <v>12</v>
      </c>
    </row>
    <row r="21" spans="1:12" x14ac:dyDescent="0.3">
      <c r="A21" s="2" t="s">
        <v>55</v>
      </c>
      <c r="B21" s="6">
        <v>51.342857142857142</v>
      </c>
      <c r="C21" s="6">
        <v>14.8</v>
      </c>
      <c r="E21" s="2" t="s">
        <v>55</v>
      </c>
      <c r="F21" s="5">
        <v>480062</v>
      </c>
      <c r="H21" s="2" t="s">
        <v>70</v>
      </c>
      <c r="I21" s="5">
        <v>107995</v>
      </c>
      <c r="K21" s="2" t="s">
        <v>70</v>
      </c>
      <c r="L21" s="6">
        <v>10</v>
      </c>
    </row>
    <row r="22" spans="1:12" x14ac:dyDescent="0.3">
      <c r="A22" s="2" t="s">
        <v>30</v>
      </c>
      <c r="B22" s="6">
        <v>50.625</v>
      </c>
      <c r="C22" s="6">
        <v>14.9375</v>
      </c>
      <c r="E22" s="2" t="s">
        <v>30</v>
      </c>
      <c r="F22" s="5">
        <v>189576</v>
      </c>
      <c r="H22" s="2" t="s">
        <v>17</v>
      </c>
      <c r="I22" s="5">
        <v>35000</v>
      </c>
      <c r="K22" s="2" t="s">
        <v>17</v>
      </c>
      <c r="L22" s="6">
        <v>1</v>
      </c>
    </row>
    <row r="23" spans="1:12" x14ac:dyDescent="0.3">
      <c r="A23" s="2" t="s">
        <v>80</v>
      </c>
      <c r="B23" s="6">
        <v>51.723404255319146</v>
      </c>
      <c r="C23" s="6">
        <v>15.361702127659575</v>
      </c>
      <c r="E23" s="2" t="s">
        <v>80</v>
      </c>
      <c r="F23" s="5">
        <v>1248578</v>
      </c>
      <c r="H23" s="2" t="s">
        <v>22</v>
      </c>
      <c r="I23" s="5">
        <v>475170</v>
      </c>
      <c r="K23" s="2" t="s">
        <v>22</v>
      </c>
      <c r="L23" s="6">
        <v>36</v>
      </c>
    </row>
    <row r="24" spans="1:12" x14ac:dyDescent="0.3">
      <c r="H24" s="2" t="s">
        <v>65</v>
      </c>
      <c r="I24" s="5">
        <v>43584</v>
      </c>
      <c r="K24" s="2" t="s">
        <v>65</v>
      </c>
      <c r="L24" s="6">
        <v>5</v>
      </c>
    </row>
    <row r="25" spans="1:12" x14ac:dyDescent="0.3">
      <c r="H25" s="2" t="s">
        <v>80</v>
      </c>
      <c r="I25" s="5">
        <v>1248578</v>
      </c>
      <c r="K25" s="2" t="s">
        <v>80</v>
      </c>
      <c r="L25" s="6">
        <v>94</v>
      </c>
    </row>
    <row r="27" spans="1:12" ht="21" x14ac:dyDescent="0.3">
      <c r="A27" s="20" t="s">
        <v>98</v>
      </c>
      <c r="B27" s="20"/>
      <c r="C27" s="20"/>
      <c r="D27" s="20"/>
    </row>
    <row r="28" spans="1:12" ht="18" x14ac:dyDescent="0.3">
      <c r="A28" s="3" t="s">
        <v>93</v>
      </c>
      <c r="B28" t="s">
        <v>82</v>
      </c>
      <c r="C28" t="s">
        <v>81</v>
      </c>
      <c r="D28" t="s">
        <v>83</v>
      </c>
      <c r="F28" s="22" t="s">
        <v>103</v>
      </c>
      <c r="G28" s="22"/>
      <c r="H28" s="22"/>
      <c r="I28" s="21" t="s">
        <v>108</v>
      </c>
      <c r="J28" s="21"/>
    </row>
    <row r="29" spans="1:12" x14ac:dyDescent="0.3">
      <c r="A29" s="2" t="s">
        <v>51</v>
      </c>
      <c r="B29" s="5">
        <v>24472</v>
      </c>
      <c r="C29" s="5">
        <v>1428</v>
      </c>
      <c r="D29" s="5">
        <v>13463.720930232557</v>
      </c>
      <c r="F29" s="3" t="s">
        <v>93</v>
      </c>
      <c r="G29" t="s">
        <v>87</v>
      </c>
      <c r="I29" s="3" t="s">
        <v>101</v>
      </c>
      <c r="J29" t="s">
        <v>87</v>
      </c>
    </row>
    <row r="30" spans="1:12" x14ac:dyDescent="0.3">
      <c r="A30" s="2" t="s">
        <v>55</v>
      </c>
      <c r="B30" s="5">
        <v>35000</v>
      </c>
      <c r="C30" s="5">
        <v>1673</v>
      </c>
      <c r="D30" s="5">
        <v>13716.057142857142</v>
      </c>
      <c r="F30" s="2" t="s">
        <v>51</v>
      </c>
      <c r="G30" s="6">
        <v>43</v>
      </c>
      <c r="I30" s="2" t="s">
        <v>79</v>
      </c>
      <c r="J30" s="6">
        <v>9</v>
      </c>
    </row>
    <row r="31" spans="1:12" x14ac:dyDescent="0.3">
      <c r="A31" s="2" t="s">
        <v>30</v>
      </c>
      <c r="B31" s="5">
        <v>25000</v>
      </c>
      <c r="C31" s="5">
        <v>1952</v>
      </c>
      <c r="D31" s="5">
        <v>11848.5</v>
      </c>
      <c r="F31" s="2" t="s">
        <v>55</v>
      </c>
      <c r="G31" s="6">
        <v>35</v>
      </c>
      <c r="I31" s="2" t="s">
        <v>54</v>
      </c>
      <c r="J31" s="6">
        <v>5</v>
      </c>
    </row>
    <row r="32" spans="1:12" x14ac:dyDescent="0.3">
      <c r="A32" s="2" t="s">
        <v>80</v>
      </c>
      <c r="B32" s="5">
        <v>35000</v>
      </c>
      <c r="C32" s="5">
        <v>1428</v>
      </c>
      <c r="D32" s="5">
        <v>13282.744680851063</v>
      </c>
      <c r="F32" s="2" t="s">
        <v>30</v>
      </c>
      <c r="G32" s="6">
        <v>16</v>
      </c>
      <c r="I32" s="2" t="s">
        <v>77</v>
      </c>
      <c r="J32" s="6">
        <v>1</v>
      </c>
    </row>
    <row r="33" spans="1:10" x14ac:dyDescent="0.3">
      <c r="F33" s="2" t="s">
        <v>80</v>
      </c>
      <c r="G33" s="6">
        <v>94</v>
      </c>
      <c r="I33" s="2" t="s">
        <v>71</v>
      </c>
      <c r="J33" s="6">
        <v>6</v>
      </c>
    </row>
    <row r="34" spans="1:10" x14ac:dyDescent="0.3">
      <c r="I34" s="2" t="s">
        <v>66</v>
      </c>
      <c r="J34" s="6">
        <v>1</v>
      </c>
    </row>
    <row r="35" spans="1:10" x14ac:dyDescent="0.3">
      <c r="I35" s="2" t="s">
        <v>68</v>
      </c>
      <c r="J35" s="6">
        <v>6</v>
      </c>
    </row>
    <row r="36" spans="1:10" x14ac:dyDescent="0.3">
      <c r="I36" s="2" t="s">
        <v>63</v>
      </c>
      <c r="J36" s="6">
        <v>1</v>
      </c>
    </row>
    <row r="37" spans="1:10" x14ac:dyDescent="0.3">
      <c r="I37" s="2" t="s">
        <v>49</v>
      </c>
      <c r="J37" s="6">
        <v>1</v>
      </c>
    </row>
    <row r="38" spans="1:10" ht="18" x14ac:dyDescent="0.3">
      <c r="A38" s="22" t="s">
        <v>106</v>
      </c>
      <c r="B38" s="22"/>
      <c r="C38" s="22"/>
      <c r="E38" s="22" t="s">
        <v>107</v>
      </c>
      <c r="F38" s="22"/>
      <c r="G38" s="22"/>
      <c r="I38" s="2" t="s">
        <v>56</v>
      </c>
      <c r="J38" s="6">
        <v>12</v>
      </c>
    </row>
    <row r="39" spans="1:10" x14ac:dyDescent="0.3">
      <c r="A39" s="3" t="s">
        <v>93</v>
      </c>
      <c r="B39" t="s">
        <v>87</v>
      </c>
      <c r="E39" s="3" t="s">
        <v>93</v>
      </c>
      <c r="F39" t="s">
        <v>87</v>
      </c>
      <c r="I39" s="2" t="s">
        <v>70</v>
      </c>
      <c r="J39" s="6">
        <v>10</v>
      </c>
    </row>
    <row r="40" spans="1:10" x14ac:dyDescent="0.3">
      <c r="A40" s="2" t="s">
        <v>78</v>
      </c>
      <c r="B40" s="11">
        <v>0.10638297872340426</v>
      </c>
      <c r="E40" s="2" t="s">
        <v>20</v>
      </c>
      <c r="F40" s="11">
        <v>0.58510638297872342</v>
      </c>
      <c r="I40" s="2" t="s">
        <v>17</v>
      </c>
      <c r="J40" s="6">
        <v>1</v>
      </c>
    </row>
    <row r="41" spans="1:10" x14ac:dyDescent="0.3">
      <c r="A41" s="2" t="s">
        <v>67</v>
      </c>
      <c r="B41" s="11">
        <v>0.24468085106382978</v>
      </c>
      <c r="E41" s="2" t="s">
        <v>24</v>
      </c>
      <c r="F41" s="11">
        <v>0.38297872340425532</v>
      </c>
      <c r="I41" s="2" t="s">
        <v>22</v>
      </c>
      <c r="J41" s="6">
        <v>36</v>
      </c>
    </row>
    <row r="42" spans="1:10" x14ac:dyDescent="0.3">
      <c r="A42" s="2" t="s">
        <v>64</v>
      </c>
      <c r="B42" s="11">
        <v>6.3829787234042548E-2</v>
      </c>
      <c r="E42" s="2" t="s">
        <v>52</v>
      </c>
      <c r="F42" s="11">
        <v>3.1914893617021274E-2</v>
      </c>
      <c r="I42" s="2" t="s">
        <v>65</v>
      </c>
      <c r="J42" s="6">
        <v>5</v>
      </c>
    </row>
    <row r="43" spans="1:10" x14ac:dyDescent="0.3">
      <c r="A43" s="2" t="s">
        <v>50</v>
      </c>
      <c r="B43" s="11">
        <v>0.19148936170212766</v>
      </c>
      <c r="E43" s="2" t="s">
        <v>80</v>
      </c>
      <c r="F43" s="11">
        <v>1</v>
      </c>
      <c r="I43" s="2" t="s">
        <v>80</v>
      </c>
      <c r="J43" s="6">
        <v>94</v>
      </c>
    </row>
    <row r="44" spans="1:10" x14ac:dyDescent="0.3">
      <c r="A44" s="2" t="s">
        <v>18</v>
      </c>
      <c r="B44" s="11">
        <v>0.39361702127659576</v>
      </c>
    </row>
    <row r="45" spans="1:10" x14ac:dyDescent="0.3">
      <c r="A45" s="2" t="s">
        <v>80</v>
      </c>
      <c r="B45" s="11">
        <v>1</v>
      </c>
    </row>
  </sheetData>
  <mergeCells count="12">
    <mergeCell ref="I28:J28"/>
    <mergeCell ref="F28:H28"/>
    <mergeCell ref="A38:C38"/>
    <mergeCell ref="E18:F18"/>
    <mergeCell ref="A18:C18"/>
    <mergeCell ref="E38:G38"/>
    <mergeCell ref="A27:D27"/>
    <mergeCell ref="K1:L1"/>
    <mergeCell ref="H1:I1"/>
    <mergeCell ref="N1:O1"/>
    <mergeCell ref="A1:E1"/>
    <mergeCell ref="A8:E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393B-5ABA-472A-BABD-44A1FF012F80}">
  <sheetPr>
    <tabColor theme="3" tint="0.499984740745262"/>
  </sheetPr>
  <dimension ref="A2:V45"/>
  <sheetViews>
    <sheetView tabSelected="1" zoomScale="85" zoomScaleNormal="85" workbookViewId="0">
      <selection activeCell="I11" sqref="I11:L11"/>
    </sheetView>
  </sheetViews>
  <sheetFormatPr defaultRowHeight="14.4" x14ac:dyDescent="0.3"/>
  <cols>
    <col min="1" max="1" width="11.88671875" bestFit="1" customWidth="1"/>
    <col min="2" max="2" width="12" bestFit="1" customWidth="1"/>
    <col min="3" max="3" width="11.77734375" bestFit="1" customWidth="1"/>
    <col min="4" max="4" width="20.6640625" bestFit="1" customWidth="1"/>
    <col min="5" max="5" width="11.109375" bestFit="1" customWidth="1"/>
    <col min="9" max="9" width="20.21875" bestFit="1" customWidth="1"/>
    <col min="10" max="11" width="11.77734375" bestFit="1" customWidth="1"/>
    <col min="12" max="12" width="15.6640625" bestFit="1" customWidth="1"/>
    <col min="14" max="14" width="26.77734375" bestFit="1" customWidth="1"/>
    <col min="15" max="15" width="15" bestFit="1" customWidth="1"/>
    <col min="19" max="19" width="16.77734375" customWidth="1"/>
    <col min="20" max="20" width="15.5546875" customWidth="1"/>
  </cols>
  <sheetData>
    <row r="2" spans="4:22" ht="15.6" x14ac:dyDescent="0.3">
      <c r="D2" s="24" t="s">
        <v>133</v>
      </c>
      <c r="E2" s="24"/>
      <c r="F2" s="24"/>
      <c r="G2" s="24"/>
      <c r="I2" s="24" t="s">
        <v>128</v>
      </c>
      <c r="J2" s="24"/>
      <c r="K2" s="24"/>
      <c r="L2" s="24"/>
      <c r="N2" s="24" t="s">
        <v>138</v>
      </c>
      <c r="O2" s="24"/>
      <c r="P2" s="24"/>
      <c r="Q2" s="24"/>
      <c r="S2" s="24" t="s">
        <v>140</v>
      </c>
      <c r="T2" s="24"/>
      <c r="U2" s="24"/>
      <c r="V2" s="24"/>
    </row>
    <row r="3" spans="4:22" x14ac:dyDescent="0.3">
      <c r="D3" s="3" t="s">
        <v>134</v>
      </c>
      <c r="E3" t="s">
        <v>87</v>
      </c>
      <c r="I3" s="3" t="s">
        <v>109</v>
      </c>
      <c r="J3" t="s">
        <v>87</v>
      </c>
      <c r="N3" s="3" t="s">
        <v>101</v>
      </c>
      <c r="O3" t="s">
        <v>100</v>
      </c>
      <c r="S3" s="3" t="s">
        <v>139</v>
      </c>
      <c r="T3" t="s">
        <v>83</v>
      </c>
    </row>
    <row r="4" spans="4:22" x14ac:dyDescent="0.3">
      <c r="D4" s="2" t="s">
        <v>124</v>
      </c>
      <c r="E4" s="27">
        <v>17</v>
      </c>
      <c r="I4" s="2" t="s">
        <v>119</v>
      </c>
      <c r="J4" s="11">
        <v>0.35106382978723405</v>
      </c>
      <c r="N4" s="2" t="s">
        <v>22</v>
      </c>
      <c r="O4" s="5">
        <v>475170</v>
      </c>
      <c r="S4" s="2" t="s">
        <v>50</v>
      </c>
      <c r="T4" s="5">
        <v>14726.777777777777</v>
      </c>
    </row>
    <row r="5" spans="4:22" x14ac:dyDescent="0.3">
      <c r="D5" s="2" t="s">
        <v>121</v>
      </c>
      <c r="E5" s="27">
        <v>20</v>
      </c>
      <c r="I5" s="2" t="s">
        <v>127</v>
      </c>
      <c r="J5" s="11">
        <v>2.1276595744680851E-2</v>
      </c>
      <c r="N5" s="2" t="s">
        <v>56</v>
      </c>
      <c r="O5" s="5">
        <v>175789</v>
      </c>
      <c r="S5" s="2" t="s">
        <v>78</v>
      </c>
      <c r="T5" s="5">
        <v>13976.7</v>
      </c>
    </row>
    <row r="6" spans="4:22" x14ac:dyDescent="0.3">
      <c r="D6" s="2" t="s">
        <v>120</v>
      </c>
      <c r="E6" s="27">
        <v>35</v>
      </c>
      <c r="I6" s="2" t="s">
        <v>114</v>
      </c>
      <c r="J6" s="11">
        <v>0.62765957446808507</v>
      </c>
      <c r="N6" s="2" t="s">
        <v>79</v>
      </c>
      <c r="O6" s="5">
        <v>113247</v>
      </c>
      <c r="S6" s="2" t="s">
        <v>18</v>
      </c>
      <c r="T6" s="5">
        <v>13788.378378378378</v>
      </c>
    </row>
    <row r="7" spans="4:22" x14ac:dyDescent="0.3">
      <c r="D7" s="2" t="s">
        <v>115</v>
      </c>
      <c r="E7" s="27">
        <v>22</v>
      </c>
      <c r="I7" s="2" t="s">
        <v>80</v>
      </c>
      <c r="J7" s="11">
        <v>1</v>
      </c>
      <c r="N7" s="2" t="s">
        <v>70</v>
      </c>
      <c r="O7" s="5">
        <v>107995</v>
      </c>
      <c r="S7" s="2" t="s">
        <v>67</v>
      </c>
      <c r="T7" s="5">
        <v>11520.652173913044</v>
      </c>
    </row>
    <row r="8" spans="4:22" x14ac:dyDescent="0.3">
      <c r="D8" s="2" t="s">
        <v>80</v>
      </c>
      <c r="E8" s="27">
        <v>94</v>
      </c>
      <c r="N8" s="2" t="s">
        <v>71</v>
      </c>
      <c r="O8" s="5">
        <v>73060</v>
      </c>
      <c r="S8" s="2" t="s">
        <v>64</v>
      </c>
      <c r="T8" s="5">
        <v>11430.666666666666</v>
      </c>
    </row>
    <row r="9" spans="4:22" x14ac:dyDescent="0.3">
      <c r="N9" s="2" t="s">
        <v>54</v>
      </c>
      <c r="O9" s="5">
        <v>67718</v>
      </c>
      <c r="S9" s="2" t="s">
        <v>80</v>
      </c>
      <c r="T9" s="5">
        <v>13282.744680851063</v>
      </c>
    </row>
    <row r="10" spans="4:22" x14ac:dyDescent="0.3">
      <c r="N10" s="2" t="s">
        <v>68</v>
      </c>
      <c r="O10" s="5">
        <v>63420</v>
      </c>
    </row>
    <row r="11" spans="4:22" ht="15.6" x14ac:dyDescent="0.3">
      <c r="D11" s="24" t="s">
        <v>135</v>
      </c>
      <c r="E11" s="24"/>
      <c r="F11" s="24"/>
      <c r="G11" s="24"/>
      <c r="I11" s="24" t="s">
        <v>129</v>
      </c>
      <c r="J11" s="24"/>
      <c r="K11" s="24"/>
      <c r="L11" s="24"/>
      <c r="N11" s="2" t="s">
        <v>65</v>
      </c>
      <c r="O11" s="5">
        <v>43584</v>
      </c>
    </row>
    <row r="12" spans="4:22" x14ac:dyDescent="0.3">
      <c r="D12" s="3" t="s">
        <v>136</v>
      </c>
      <c r="E12" t="s">
        <v>87</v>
      </c>
      <c r="I12" s="3" t="s">
        <v>109</v>
      </c>
      <c r="J12" s="3" t="s">
        <v>5</v>
      </c>
      <c r="K12" t="s">
        <v>87</v>
      </c>
      <c r="N12" s="2" t="s">
        <v>17</v>
      </c>
      <c r="O12" s="5">
        <v>35000</v>
      </c>
    </row>
    <row r="13" spans="4:22" x14ac:dyDescent="0.3">
      <c r="D13" s="2" t="s">
        <v>126</v>
      </c>
      <c r="E13" s="11">
        <v>0.1276595744680851</v>
      </c>
      <c r="I13" t="s">
        <v>119</v>
      </c>
      <c r="J13" t="s">
        <v>51</v>
      </c>
      <c r="K13" s="11">
        <v>9.5744680851063829E-2</v>
      </c>
      <c r="N13" s="2" t="s">
        <v>77</v>
      </c>
      <c r="O13" s="5">
        <v>26520</v>
      </c>
    </row>
    <row r="14" spans="4:22" x14ac:dyDescent="0.3">
      <c r="D14" s="2" t="s">
        <v>123</v>
      </c>
      <c r="E14" s="11">
        <v>0.43617021276595747</v>
      </c>
      <c r="J14" t="s">
        <v>55</v>
      </c>
      <c r="K14" s="11">
        <v>0.19148936170212766</v>
      </c>
      <c r="N14" s="2" t="s">
        <v>63</v>
      </c>
      <c r="O14" s="5">
        <v>25000</v>
      </c>
    </row>
    <row r="15" spans="4:22" x14ac:dyDescent="0.3">
      <c r="D15" s="2" t="s">
        <v>117</v>
      </c>
      <c r="E15" s="11">
        <v>0.43617021276595747</v>
      </c>
      <c r="J15" t="s">
        <v>30</v>
      </c>
      <c r="K15" s="11">
        <v>6.3829787234042548E-2</v>
      </c>
      <c r="N15" s="2" t="s">
        <v>49</v>
      </c>
      <c r="O15" s="5">
        <v>21575</v>
      </c>
    </row>
    <row r="16" spans="4:22" x14ac:dyDescent="0.3">
      <c r="D16" s="2" t="s">
        <v>80</v>
      </c>
      <c r="E16" s="11">
        <v>1</v>
      </c>
      <c r="I16" t="s">
        <v>130</v>
      </c>
      <c r="K16" s="11">
        <v>0.35106382978723405</v>
      </c>
      <c r="N16" s="2" t="s">
        <v>66</v>
      </c>
      <c r="O16" s="5">
        <v>20500</v>
      </c>
    </row>
    <row r="17" spans="1:18" x14ac:dyDescent="0.3">
      <c r="I17" t="s">
        <v>127</v>
      </c>
      <c r="J17" t="s">
        <v>51</v>
      </c>
      <c r="K17" s="11">
        <v>1.0638297872340425E-2</v>
      </c>
      <c r="N17" s="2" t="s">
        <v>80</v>
      </c>
      <c r="O17" s="5">
        <v>1248578</v>
      </c>
    </row>
    <row r="18" spans="1:18" x14ac:dyDescent="0.3">
      <c r="J18" t="s">
        <v>55</v>
      </c>
      <c r="K18" s="11">
        <v>1.0638297872340425E-2</v>
      </c>
    </row>
    <row r="19" spans="1:18" ht="15.6" x14ac:dyDescent="0.3">
      <c r="D19" s="24" t="s">
        <v>137</v>
      </c>
      <c r="E19" s="24"/>
      <c r="F19" s="24"/>
      <c r="G19" s="24"/>
      <c r="I19" t="s">
        <v>131</v>
      </c>
      <c r="K19" s="11">
        <v>2.1276595744680851E-2</v>
      </c>
    </row>
    <row r="20" spans="1:18" x14ac:dyDescent="0.3">
      <c r="D20" s="3" t="s">
        <v>136</v>
      </c>
      <c r="E20" t="s">
        <v>87</v>
      </c>
      <c r="I20" t="s">
        <v>114</v>
      </c>
      <c r="J20" t="s">
        <v>51</v>
      </c>
      <c r="K20" s="11">
        <v>0.35106382978723405</v>
      </c>
    </row>
    <row r="21" spans="1:18" x14ac:dyDescent="0.3">
      <c r="D21" s="2" t="s">
        <v>118</v>
      </c>
      <c r="E21" s="27">
        <v>38</v>
      </c>
      <c r="J21" t="s">
        <v>55</v>
      </c>
      <c r="K21" s="11">
        <v>0.1702127659574468</v>
      </c>
    </row>
    <row r="22" spans="1:18" x14ac:dyDescent="0.3">
      <c r="D22" s="2" t="s">
        <v>117</v>
      </c>
      <c r="E22" s="27">
        <v>56</v>
      </c>
      <c r="J22" t="s">
        <v>30</v>
      </c>
      <c r="K22" s="11">
        <v>0.10638297872340426</v>
      </c>
    </row>
    <row r="23" spans="1:18" x14ac:dyDescent="0.3">
      <c r="D23" s="2" t="s">
        <v>80</v>
      </c>
      <c r="E23" s="27">
        <v>94</v>
      </c>
      <c r="I23" t="s">
        <v>132</v>
      </c>
      <c r="K23" s="11">
        <v>0.62765957446808507</v>
      </c>
    </row>
    <row r="24" spans="1:18" x14ac:dyDescent="0.3">
      <c r="I24" t="s">
        <v>80</v>
      </c>
      <c r="K24" s="11">
        <v>1</v>
      </c>
    </row>
    <row r="25" spans="1:18" x14ac:dyDescent="0.3">
      <c r="A25" s="26" t="s">
        <v>144</v>
      </c>
      <c r="B25" s="26"/>
      <c r="C25" s="26"/>
      <c r="D25" s="26"/>
      <c r="E25" s="26"/>
      <c r="F25" s="26"/>
      <c r="G25" s="26"/>
    </row>
    <row r="26" spans="1:18" x14ac:dyDescent="0.3">
      <c r="A26" s="26"/>
      <c r="B26" s="26"/>
      <c r="C26" s="26"/>
      <c r="D26" s="26"/>
      <c r="E26" s="26"/>
      <c r="F26" s="26"/>
      <c r="G26" s="26"/>
    </row>
    <row r="27" spans="1:18" x14ac:dyDescent="0.3">
      <c r="A27" s="25" t="s">
        <v>143</v>
      </c>
      <c r="B27" s="25"/>
    </row>
    <row r="28" spans="1:18" ht="15.6" x14ac:dyDescent="0.3">
      <c r="A28" s="3" t="s">
        <v>142</v>
      </c>
      <c r="B28" t="s">
        <v>141</v>
      </c>
      <c r="D28" s="24" t="s">
        <v>145</v>
      </c>
      <c r="E28" s="24"/>
      <c r="F28" s="24"/>
      <c r="G28" s="24"/>
    </row>
    <row r="29" spans="1:18" ht="15.6" x14ac:dyDescent="0.3">
      <c r="A29" s="2" t="s">
        <v>21</v>
      </c>
      <c r="B29" s="27">
        <v>0.91999999999999993</v>
      </c>
      <c r="D29" s="3" t="s">
        <v>109</v>
      </c>
      <c r="E29" t="s">
        <v>87</v>
      </c>
      <c r="I29" s="24" t="s">
        <v>146</v>
      </c>
      <c r="J29" s="24"/>
      <c r="K29" s="24"/>
      <c r="L29" s="24"/>
    </row>
    <row r="30" spans="1:18" x14ac:dyDescent="0.3">
      <c r="D30" s="2" t="s">
        <v>119</v>
      </c>
      <c r="E30" s="11">
        <v>0.35106382978723405</v>
      </c>
      <c r="I30" s="3" t="s">
        <v>110</v>
      </c>
      <c r="J30" t="s">
        <v>87</v>
      </c>
    </row>
    <row r="31" spans="1:18" x14ac:dyDescent="0.3">
      <c r="A31" s="13" t="str">
        <f>A28</f>
        <v>Employee</v>
      </c>
      <c r="B31" s="13" t="str">
        <f>B28</f>
        <v>Performance</v>
      </c>
      <c r="D31" s="2" t="s">
        <v>127</v>
      </c>
      <c r="E31" s="11">
        <v>2.1276595744680851E-2</v>
      </c>
      <c r="I31" s="2" t="s">
        <v>120</v>
      </c>
      <c r="J31" s="27">
        <v>35</v>
      </c>
      <c r="Q31" s="23" t="str">
        <f>A32 &amp; " — " &amp; B32</f>
        <v>هدي محمد — 0.92</v>
      </c>
      <c r="R31" s="23"/>
    </row>
    <row r="32" spans="1:18" x14ac:dyDescent="0.3">
      <c r="A32" s="13" t="str">
        <f>A29</f>
        <v>هدي محمد</v>
      </c>
      <c r="B32" s="13">
        <f>B29</f>
        <v>0.91999999999999993</v>
      </c>
      <c r="D32" s="2" t="s">
        <v>114</v>
      </c>
      <c r="E32" s="11">
        <v>0.62765957446808507</v>
      </c>
      <c r="I32" s="2" t="s">
        <v>115</v>
      </c>
      <c r="J32" s="27">
        <v>22</v>
      </c>
    </row>
    <row r="33" spans="1:12" x14ac:dyDescent="0.3">
      <c r="I33" s="2" t="s">
        <v>121</v>
      </c>
      <c r="J33" s="27">
        <v>20</v>
      </c>
    </row>
    <row r="34" spans="1:12" x14ac:dyDescent="0.3">
      <c r="I34" s="2" t="s">
        <v>124</v>
      </c>
      <c r="J34" s="27">
        <v>17</v>
      </c>
    </row>
    <row r="35" spans="1:12" x14ac:dyDescent="0.3">
      <c r="A35" s="13" t="str">
        <f t="shared" ref="A35:B38" si="0">D29</f>
        <v>Performance Category</v>
      </c>
      <c r="B35" s="13" t="str">
        <f t="shared" si="0"/>
        <v>#Employees</v>
      </c>
    </row>
    <row r="36" spans="1:12" ht="15.6" x14ac:dyDescent="0.3">
      <c r="A36" s="13" t="str">
        <f t="shared" si="0"/>
        <v>High</v>
      </c>
      <c r="B36" s="14">
        <f t="shared" si="0"/>
        <v>0.35106382978723405</v>
      </c>
      <c r="I36" s="15"/>
      <c r="J36" s="15"/>
      <c r="K36" s="15"/>
      <c r="L36" s="15"/>
    </row>
    <row r="37" spans="1:12" x14ac:dyDescent="0.3">
      <c r="A37" s="13" t="str">
        <f t="shared" si="0"/>
        <v>Low</v>
      </c>
      <c r="B37" s="14">
        <f t="shared" si="0"/>
        <v>2.1276595744680851E-2</v>
      </c>
      <c r="I37" t="s">
        <v>96</v>
      </c>
      <c r="J37" t="s">
        <v>89</v>
      </c>
      <c r="K37" t="s">
        <v>90</v>
      </c>
      <c r="L37" s="17" t="s">
        <v>147</v>
      </c>
    </row>
    <row r="38" spans="1:12" x14ac:dyDescent="0.3">
      <c r="A38" s="13" t="str">
        <f t="shared" si="0"/>
        <v>Medium</v>
      </c>
      <c r="B38" s="14">
        <f t="shared" si="0"/>
        <v>0.62765957446808507</v>
      </c>
      <c r="I38" s="16">
        <v>51.723404255319146</v>
      </c>
      <c r="J38" s="12">
        <v>0.82010638297872318</v>
      </c>
      <c r="K38" s="12">
        <v>0.70723404255319133</v>
      </c>
      <c r="L38" s="12">
        <f>GETPIVOTDATA("Avg Per 2019",$I$37)-GETPIVOTDATA("Avg Per 2020",$I$37)</f>
        <v>0.11287234042553185</v>
      </c>
    </row>
    <row r="40" spans="1:12" x14ac:dyDescent="0.3">
      <c r="I40" t="str">
        <f t="shared" ref="I40:L41" si="1">I37</f>
        <v>Avg Age</v>
      </c>
      <c r="J40" t="str">
        <f t="shared" si="1"/>
        <v>Avg Per 2019</v>
      </c>
      <c r="K40" t="str">
        <f t="shared" si="1"/>
        <v>Avg Per 2020</v>
      </c>
      <c r="L40" t="str">
        <f t="shared" si="1"/>
        <v>Performance Gap</v>
      </c>
    </row>
    <row r="41" spans="1:12" x14ac:dyDescent="0.3">
      <c r="A41" s="13" t="str">
        <f t="shared" ref="A41:B45" si="2">I30</f>
        <v>Salary Range</v>
      </c>
      <c r="B41" s="13" t="str">
        <f t="shared" si="2"/>
        <v>#Employees</v>
      </c>
      <c r="I41" s="6">
        <f t="shared" si="1"/>
        <v>51.723404255319146</v>
      </c>
      <c r="J41" s="12">
        <f t="shared" si="1"/>
        <v>0.82010638297872318</v>
      </c>
      <c r="K41" s="12">
        <f t="shared" si="1"/>
        <v>0.70723404255319133</v>
      </c>
      <c r="L41" s="12">
        <f t="shared" si="1"/>
        <v>0.11287234042553185</v>
      </c>
    </row>
    <row r="42" spans="1:12" x14ac:dyDescent="0.3">
      <c r="A42" s="13" t="str">
        <f t="shared" si="2"/>
        <v>10K-20K</v>
      </c>
      <c r="B42" s="13">
        <f t="shared" si="2"/>
        <v>35</v>
      </c>
    </row>
    <row r="43" spans="1:12" x14ac:dyDescent="0.3">
      <c r="A43" s="13" t="str">
        <f t="shared" si="2"/>
        <v>&gt;20K</v>
      </c>
      <c r="B43" s="13">
        <f t="shared" si="2"/>
        <v>22</v>
      </c>
    </row>
    <row r="44" spans="1:12" x14ac:dyDescent="0.3">
      <c r="A44" s="13" t="str">
        <f t="shared" si="2"/>
        <v>5K-10K</v>
      </c>
      <c r="B44" s="13">
        <f t="shared" si="2"/>
        <v>20</v>
      </c>
    </row>
    <row r="45" spans="1:12" x14ac:dyDescent="0.3">
      <c r="A45" s="13" t="str">
        <f t="shared" si="2"/>
        <v>&lt;5K</v>
      </c>
      <c r="B45" s="13">
        <f t="shared" si="2"/>
        <v>17</v>
      </c>
    </row>
  </sheetData>
  <mergeCells count="12">
    <mergeCell ref="Q31:R31"/>
    <mergeCell ref="S2:V2"/>
    <mergeCell ref="A27:B27"/>
    <mergeCell ref="A25:G26"/>
    <mergeCell ref="D28:G28"/>
    <mergeCell ref="I29:L29"/>
    <mergeCell ref="I2:L2"/>
    <mergeCell ref="I11:L11"/>
    <mergeCell ref="D2:G2"/>
    <mergeCell ref="D11:G11"/>
    <mergeCell ref="D19:G19"/>
    <mergeCell ref="N2:Q2"/>
  </mergeCells>
  <conditionalFormatting pivot="1" sqref="O4:O16">
    <cfRule type="dataBar" priority="3">
      <dataBar>
        <cfvo type="min"/>
        <cfvo type="max"/>
        <color rgb="FF638EC6"/>
      </dataBar>
      <extLst>
        <ext xmlns:x14="http://schemas.microsoft.com/office/spreadsheetml/2009/9/main" uri="{B025F937-C7B1-47D3-B67F-A62EFF666E3E}">
          <x14:id>{AA63940F-FB73-4864-BA4E-C228FA4DB560}</x14:id>
        </ext>
      </extLst>
    </cfRule>
  </conditionalFormatting>
  <conditionalFormatting pivot="1" sqref="T4:T8">
    <cfRule type="dataBar" priority="1">
      <dataBar>
        <cfvo type="min"/>
        <cfvo type="max"/>
        <color rgb="FF638EC6"/>
      </dataBar>
      <extLst>
        <ext xmlns:x14="http://schemas.microsoft.com/office/spreadsheetml/2009/9/main" uri="{B025F937-C7B1-47D3-B67F-A62EFF666E3E}">
          <x14:id>{DC32E596-1C27-497F-BE4C-2E8C45651CE5}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A63940F-FB73-4864-BA4E-C228FA4DB560}">
            <x14:dataBar minLength="0" maxLength="100" border="1" negativeBarBorderColorSameAsPositive="0">
              <x14:cfvo type="autoMin"/>
              <x14:cfvo type="autoMax"/>
              <x14:borderColor rgb="FF638EC6"/>
              <x14:negativeFillColor rgb="FFFF0000"/>
              <x14:negativeBorderColor rgb="FFFF0000"/>
              <x14:axisColor rgb="FF000000"/>
            </x14:dataBar>
          </x14:cfRule>
          <xm:sqref>O4:O16</xm:sqref>
        </x14:conditionalFormatting>
        <x14:conditionalFormatting xmlns:xm="http://schemas.microsoft.com/office/excel/2006/main" pivot="1">
          <x14:cfRule type="dataBar" id="{DC32E596-1C27-497F-BE4C-2E8C45651CE5}">
            <x14:dataBar minLength="0" maxLength="100" border="1" negativeBarBorderColorSameAsPositive="0">
              <x14:cfvo type="autoMin"/>
              <x14:cfvo type="autoMax"/>
              <x14:borderColor rgb="FF638EC6"/>
              <x14:negativeFillColor rgb="FFFF0000"/>
              <x14:negativeBorderColor rgb="FFFF0000"/>
              <x14:axisColor rgb="FF000000"/>
            </x14:dataBar>
          </x14:cfRule>
          <xm:sqref>T4:T8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E1628-5FE3-4E9E-B6AD-8F103B853644}">
  <sheetPr>
    <tabColor theme="3" tint="0.499984740745262"/>
  </sheetPr>
  <dimension ref="A1:AC5"/>
  <sheetViews>
    <sheetView showGridLines="0" zoomScale="60" zoomScaleNormal="60" workbookViewId="0">
      <selection activeCell="AM42" sqref="AM42"/>
    </sheetView>
  </sheetViews>
  <sheetFormatPr defaultRowHeight="14.4" x14ac:dyDescent="0.3"/>
  <sheetData>
    <row r="1" spans="1:29" x14ac:dyDescent="0.3">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row>
    <row r="2" spans="1:29"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row>
    <row r="3" spans="1:29" x14ac:dyDescent="0.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row>
    <row r="4" spans="1:29" x14ac:dyDescent="0.3">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row>
    <row r="5" spans="1:29" x14ac:dyDescent="0.3">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row>
  </sheetData>
  <mergeCells count="1">
    <mergeCell ref="A1:A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79E-C157-40C3-99E2-9D40D07DA9B5}">
  <sheetPr>
    <tabColor theme="3" tint="0.499984740745262"/>
  </sheetPr>
  <dimension ref="A1:AC5"/>
  <sheetViews>
    <sheetView showGridLines="0" zoomScale="68" zoomScaleNormal="68" workbookViewId="0">
      <selection activeCell="AI9" sqref="AI9"/>
    </sheetView>
  </sheetViews>
  <sheetFormatPr defaultRowHeight="14.4" x14ac:dyDescent="0.3"/>
  <sheetData>
    <row r="1" spans="1:29" x14ac:dyDescent="0.3">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row>
    <row r="2" spans="1:29"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row>
    <row r="3" spans="1:29" x14ac:dyDescent="0.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row>
    <row r="4" spans="1:29" x14ac:dyDescent="0.3">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row>
    <row r="5" spans="1:29" x14ac:dyDescent="0.3">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row>
  </sheetData>
  <mergeCells count="1">
    <mergeCell ref="A1:A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0ECB85-E34E-4A7F-8548-75CFB5E61F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Finance5</vt:lpstr>
      <vt:lpstr>HR4</vt:lpstr>
      <vt:lpstr>IT3</vt:lpstr>
      <vt:lpstr>Marketing2</vt:lpstr>
      <vt:lpstr>Sales1</vt:lpstr>
      <vt:lpstr>Merged HR Data</vt:lpstr>
      <vt:lpstr>Pivot Tables Analysis</vt:lpstr>
      <vt:lpstr>Deeper Pivot Analysis</vt:lpstr>
      <vt:lpstr>Deeper HR 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mohamedashrafdesoki@gmail.com</dc:creator>
  <cp:lastModifiedBy>mohamedashrafdesoki@gmail.com</cp:lastModifiedBy>
  <dcterms:created xsi:type="dcterms:W3CDTF">2025-12-03T16:59:33Z</dcterms:created>
  <dcterms:modified xsi:type="dcterms:W3CDTF">2025-12-08T00:55:21Z</dcterms:modified>
</cp:coreProperties>
</file>